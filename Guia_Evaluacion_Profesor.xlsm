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eluismunoz/Downloads/AAA_SGOA/TSF/TSF_ESO/"/>
    </mc:Choice>
  </mc:AlternateContent>
  <xr:revisionPtr revIDLastSave="0" documentId="13_ncr:1_{FA474E09-4143-D649-8E0B-0A56426A2DCC}" xr6:coauthVersionLast="47" xr6:coauthVersionMax="47" xr10:uidLastSave="{00000000-0000-0000-0000-000000000000}"/>
  <bookViews>
    <workbookView xWindow="6000" yWindow="1240" windowWidth="24220" windowHeight="17600" xr2:uid="{18D070A9-4678-6D4D-856A-B8818922ACC3}"/>
  </bookViews>
  <sheets>
    <sheet name="Datos Empresa" sheetId="16" r:id="rId1"/>
    <sheet name="1. ¿Qué sabemos..." sheetId="15" r:id="rId2"/>
    <sheet name="2. Más grande" sheetId="14" r:id="rId3"/>
    <sheet name="3. Eficacia y rendimiento" sheetId="6" r:id="rId4"/>
    <sheet name="4. La orientacion lo es todo" sheetId="7" r:id="rId5"/>
    <sheet name="5. Presentación" sheetId="8" r:id="rId6"/>
    <sheet name="Certificación" sheetId="11" r:id="rId7"/>
  </sheets>
  <calcPr calcId="191029"/>
  <pivotCaches>
    <pivotCache cacheId="87" r:id="rId8"/>
    <pivotCache cacheId="91" r:id="rId9"/>
    <pivotCache cacheId="95" r:id="rId10"/>
    <pivotCache cacheId="99" r:id="rId11"/>
    <pivotCache cacheId="10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5" l="1"/>
  <c r="C2" i="11"/>
  <c r="B2" i="8"/>
  <c r="B2" i="7"/>
  <c r="B2" i="14"/>
  <c r="B2" i="6"/>
  <c r="I9" i="8"/>
  <c r="I8" i="8"/>
  <c r="I12" i="7"/>
  <c r="I8" i="7"/>
  <c r="I9" i="7"/>
  <c r="I11" i="7"/>
  <c r="I10" i="7"/>
  <c r="I8" i="6"/>
  <c r="I10" i="6"/>
  <c r="I11" i="6"/>
  <c r="I12" i="6"/>
  <c r="I9" i="6"/>
  <c r="I11" i="14"/>
  <c r="I12" i="14"/>
  <c r="I9" i="14"/>
  <c r="I8" i="14"/>
  <c r="I10" i="14"/>
  <c r="I9" i="15"/>
  <c r="I8" i="15"/>
  <c r="G16" i="8" l="1"/>
  <c r="G16" i="15"/>
  <c r="G16" i="14"/>
  <c r="G16" i="7"/>
  <c r="G16" i="6"/>
  <c r="D7" i="11" l="1"/>
</calcChain>
</file>

<file path=xl/sharedStrings.xml><?xml version="1.0" encoding="utf-8"?>
<sst xmlns="http://schemas.openxmlformats.org/spreadsheetml/2006/main" count="387" uniqueCount="107">
  <si>
    <t>Empresa</t>
  </si>
  <si>
    <t>Fecha:</t>
  </si>
  <si>
    <t>C.E.</t>
  </si>
  <si>
    <t>Indicador</t>
  </si>
  <si>
    <t>Departamento</t>
  </si>
  <si>
    <t>Ingeniería</t>
  </si>
  <si>
    <t>1.2</t>
  </si>
  <si>
    <t>Realiza los cálculos con los datos numéricos para calcular el número paneles.</t>
  </si>
  <si>
    <t>Utiliza variables para modelizar la situación del cálculo del número de paneles.</t>
  </si>
  <si>
    <t>1.3</t>
  </si>
  <si>
    <t>Obtiene una expresión algebraica para calcular el número de paneles.</t>
  </si>
  <si>
    <t>1.1</t>
  </si>
  <si>
    <t>Comprueba diferentes orientaciones.</t>
  </si>
  <si>
    <t>Crea una tabla comparativa con los diferentes modelos.</t>
  </si>
  <si>
    <t>Construye la propuesta de distribución con GeoGebra.</t>
  </si>
  <si>
    <t>3.2</t>
  </si>
  <si>
    <t>Generaliza la construcción del modelo a un tejado rectangular cualquiera.</t>
  </si>
  <si>
    <t>Comercial</t>
  </si>
  <si>
    <t>Interpreta los datos de los paneles comprendiendo que la relación coste/potencia es un cociente de los datos.</t>
  </si>
  <si>
    <t>Crea una tabla con los datos de los paneles.</t>
  </si>
  <si>
    <t>Obtiene la relación coste/potencia con la calculadora.</t>
  </si>
  <si>
    <t>Utiliza la hoja de cálculo para recopilar la información de los 4 modelos de paneles.</t>
  </si>
  <si>
    <t>Añade fórmulas en la hoja de cálculo para obtener la relación coste/potencia.</t>
  </si>
  <si>
    <t>Elige la mejor relación coste/potencia</t>
  </si>
  <si>
    <t>Representa gráficamente la relación coste/potencia</t>
  </si>
  <si>
    <t>Instalación</t>
  </si>
  <si>
    <t>Comprende el proceso de instalación realizano un esquema de como es la instalación de los paneles.</t>
  </si>
  <si>
    <t>Realiza los cálculos con los datos numéricos para calcular el material necesario.</t>
  </si>
  <si>
    <t>Realiza un resumen de los materiales necesarios.</t>
  </si>
  <si>
    <t>Utiliza variables para modelizar la situación del cálculo de materiales necesarios para la instalación de los paneles.</t>
  </si>
  <si>
    <t>Obtiene una expresión algebraica para calcular el número de piezas de cada tipo en función de los paneles a instalar.</t>
  </si>
  <si>
    <t>Informática</t>
  </si>
  <si>
    <t>Interpreta la situación como un problema matemático relacionado con el conteo.</t>
  </si>
  <si>
    <t>Realiza una codificación para cada aparta y obtiene todas las combinaciones posibles.</t>
  </si>
  <si>
    <t xml:space="preserve">Utiliza la estrategia de casos más simples. </t>
  </si>
  <si>
    <t>Obtiene una expresión para el cálculo de las posibilidades.</t>
  </si>
  <si>
    <t>Obtiene una expresión usando variables</t>
  </si>
  <si>
    <t>S</t>
  </si>
  <si>
    <t>N</t>
  </si>
  <si>
    <t>Sí/NO</t>
  </si>
  <si>
    <t>Cuenta de Sí/NO</t>
  </si>
  <si>
    <t>Etiquetas de columna</t>
  </si>
  <si>
    <t>DEPARTAMENTO</t>
  </si>
  <si>
    <t>Total</t>
  </si>
  <si>
    <t>%</t>
  </si>
  <si>
    <t>Interpreta la degradación de los paneles como un problema de porcentajes encadendos</t>
  </si>
  <si>
    <t>Usa la hoja cálculo para realizar la tabla con la degradación de los paneles.</t>
  </si>
  <si>
    <t>Utiliza fórmulas en la hoja de cálculo de la degradación de los paneles.</t>
  </si>
  <si>
    <t>Obtiene la solución de la degradación utilizando porcentajes encadenados.</t>
  </si>
  <si>
    <t>2.2</t>
  </si>
  <si>
    <t>Tiene en cuenta la relación coste/potencia a la hora de elegir paneles para la propuesta.</t>
  </si>
  <si>
    <t>Interpreta el cálculo de la posición de la antena como un problema de Geometría.</t>
  </si>
  <si>
    <t>Utiliza elementos analógicos o digitales para encontrar la solución.</t>
  </si>
  <si>
    <t>Encuentra el lugar del tejado donde hay que situar la antena.</t>
  </si>
  <si>
    <t>2.1</t>
  </si>
  <si>
    <t>Comprueba que el lugar elegido equidista de las tres antenas.</t>
  </si>
  <si>
    <t>3.3</t>
  </si>
  <si>
    <t>Propone otras soluciones para la instalación de una antena.</t>
  </si>
  <si>
    <t>7.2</t>
  </si>
  <si>
    <t>Crea una representación geométrica como modelo matemático para encontrar la solución.</t>
  </si>
  <si>
    <t>Calcula la media aritmética de los consumos medios por tramos.</t>
  </si>
  <si>
    <t>Utiliza la calculadora para comprobar los consumos.</t>
  </si>
  <si>
    <t>Toma una decisión razonada sobre el consumo máximo recomendado.</t>
  </si>
  <si>
    <t>Representa los consumos por mes y franja.</t>
  </si>
  <si>
    <t>Extrae conclusiones sobre los consumos</t>
  </si>
  <si>
    <t>Interpreta la escala proporcionada en el plano.</t>
  </si>
  <si>
    <t>Utiliza la proporcionalidad para calcular los metros de cable necesario.</t>
  </si>
  <si>
    <t>Obtiene una propuesta de cableado.</t>
  </si>
  <si>
    <t>Puntuación 
sostenibilidad</t>
  </si>
  <si>
    <t>7.1</t>
  </si>
  <si>
    <t>Realiza un gráfico utilizando la hoja de cálculo de las horas de sol por meses en Ciudad Real</t>
  </si>
  <si>
    <t>Comprende el problema de la estimación de energía producida como un problema matemático de porcentajes.</t>
  </si>
  <si>
    <r>
      <rPr>
        <sz val="10.5"/>
        <rFont val="Avenir Next"/>
        <family val="2"/>
      </rPr>
      <t xml:space="preserve">Realiza una tabla </t>
    </r>
    <r>
      <rPr>
        <sz val="10.5"/>
        <rFont val="Avenir Next"/>
        <family val="2"/>
      </rPr>
      <t xml:space="preserve">utilizando la hoja de cálculo </t>
    </r>
    <r>
      <rPr>
        <sz val="10.5"/>
        <rFont val="Avenir Next"/>
        <family val="2"/>
      </rPr>
      <t>con las horas de sol por meses en Ciudad Real.</t>
    </r>
  </si>
  <si>
    <t>Utiliza fórmulas en la hoja de calculo para estimar la electricidad que producirán los paneles.</t>
  </si>
  <si>
    <t>Elabora utilizando la hoja cálculo otras representaciones de la información</t>
  </si>
  <si>
    <t>3.1</t>
  </si>
  <si>
    <t>Se pregunta como serán las horas de sol en otras provincias.</t>
  </si>
  <si>
    <t>Crea una representación del movimiento del sol explicando los elementos matemáticos necesarios.</t>
  </si>
  <si>
    <t>La representación del modelo se ajusta de forma pausible al modelo real.</t>
  </si>
  <si>
    <t>Utiliza GeoGebra para hacer la animación del movimiento el sol.</t>
  </si>
  <si>
    <t>Comprueba que la solución propuesta se ajusta a lo solicitado por el cliente.</t>
  </si>
  <si>
    <t>Comprende que hay que encontrar la latitud de Cabezarados.</t>
  </si>
  <si>
    <t>Utiliza alguna herramienta web para calcular la latitud</t>
  </si>
  <si>
    <t>Obtiene una expresión algebraica para calcular la inclinación en cada método</t>
  </si>
  <si>
    <t>Obtiene la inclinación en cada método.</t>
  </si>
  <si>
    <t>Toma una decisión razonada sobre la inclinación a elegir.</t>
  </si>
  <si>
    <t>Obtiene la inclinación del soporte utilizando el dato del departamento de ingeniería.</t>
  </si>
  <si>
    <t>Intepreta la proporcionalidad como método matemático para calcular las dimensiones de la estructura.</t>
  </si>
  <si>
    <t>Elije de forma razonada el soporte que mejor se ajusta a la inclinación</t>
  </si>
  <si>
    <t>Calcula el error cometido.</t>
  </si>
  <si>
    <t>Utiliza la proporcionalidad para calculas las medias del soporte adecuadas al tamaño del panel solar.</t>
  </si>
  <si>
    <t>Justifica la elección del camino de los cables.</t>
  </si>
  <si>
    <t xml:space="preserve">Tienen en cuenta la distribución de las zonas de la vivienda a la hora de tirar los cables. </t>
  </si>
  <si>
    <t>10.1</t>
  </si>
  <si>
    <t>Colabora activamente en la presentación.</t>
  </si>
  <si>
    <t>Respeta las ideas y opiniones ajenas en el turno de preguntas</t>
  </si>
  <si>
    <t>Es respetuoso con el resto de la clase.</t>
  </si>
  <si>
    <t>Ayuda a los compañeros en la presentación</t>
  </si>
  <si>
    <t>Todos</t>
  </si>
  <si>
    <t xml:space="preserve"> S/N</t>
  </si>
  <si>
    <t>S/N</t>
  </si>
  <si>
    <t>Departamento Comercial</t>
  </si>
  <si>
    <t>Departamento Instalación</t>
  </si>
  <si>
    <t>Departamento Informática</t>
  </si>
  <si>
    <t>Departamento Ingeniería</t>
  </si>
  <si>
    <t>&lt;Aquí el nombre de la empresa&gt;</t>
  </si>
  <si>
    <t>&lt;Nombre&gt; &lt;Apellidos&gt;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</si>
</sst>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venir Next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rgb="FF000000"/>
      <name val="Calibri"/>
      <family val="2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3" borderId="3" xfId="0" applyFont="1" applyFill="1" applyBorder="1"/>
    <xf numFmtId="0" fontId="2" fillId="3" borderId="6" xfId="0" applyFont="1" applyFill="1" applyBorder="1"/>
    <xf numFmtId="0" fontId="3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0" fontId="1" fillId="0" borderId="0" xfId="0" applyNumberFormat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1" fontId="5" fillId="0" borderId="0" xfId="0" applyNumberFormat="1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0" fontId="2" fillId="3" borderId="2" xfId="0" applyFont="1" applyFill="1" applyBorder="1" applyAlignment="1">
      <alignment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10" fontId="1" fillId="0" borderId="1" xfId="0" applyNumberFormat="1" applyFont="1" applyBorder="1" applyAlignment="1">
      <alignment horizontal="center"/>
    </xf>
    <xf numFmtId="0" fontId="10" fillId="0" borderId="0" xfId="0" applyFont="1"/>
    <xf numFmtId="0" fontId="11" fillId="4" borderId="2" xfId="0" applyFont="1" applyFill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/>
    </xf>
    <xf numFmtId="0" fontId="0" fillId="3" borderId="5" xfId="0" quotePrefix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9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7</xdr:row>
      <xdr:rowOff>50800</xdr:rowOff>
    </xdr:from>
    <xdr:to>
      <xdr:col>3</xdr:col>
      <xdr:colOff>1899209</xdr:colOff>
      <xdr:row>7</xdr:row>
      <xdr:rowOff>1879600</xdr:rowOff>
    </xdr:to>
    <xdr:pic>
      <xdr:nvPicPr>
        <xdr:cNvPr id="13" name="En_proces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0" y="2654300"/>
          <a:ext cx="1784909" cy="1828800"/>
        </a:xfrm>
        <a:prstGeom prst="rect">
          <a:avLst/>
        </a:prstGeom>
      </xdr:spPr>
    </xdr:pic>
    <xdr:clientData/>
  </xdr:twoCellAnchor>
  <xdr:twoCellAnchor editAs="oneCell">
    <xdr:from>
      <xdr:col>3</xdr:col>
      <xdr:colOff>2167730</xdr:colOff>
      <xdr:row>7</xdr:row>
      <xdr:rowOff>50800</xdr:rowOff>
    </xdr:from>
    <xdr:to>
      <xdr:col>3</xdr:col>
      <xdr:colOff>3972146</xdr:colOff>
      <xdr:row>7</xdr:row>
      <xdr:rowOff>1879600</xdr:rowOff>
    </xdr:to>
    <xdr:pic>
      <xdr:nvPicPr>
        <xdr:cNvPr id="15" name="Certificacion_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8430" y="2654300"/>
          <a:ext cx="1804416" cy="1828800"/>
        </a:xfrm>
        <a:prstGeom prst="rect">
          <a:avLst/>
        </a:prstGeom>
      </xdr:spPr>
    </xdr:pic>
    <xdr:clientData/>
  </xdr:twoCellAnchor>
  <xdr:twoCellAnchor editAs="oneCell">
    <xdr:from>
      <xdr:col>3</xdr:col>
      <xdr:colOff>4240667</xdr:colOff>
      <xdr:row>7</xdr:row>
      <xdr:rowOff>50800</xdr:rowOff>
    </xdr:from>
    <xdr:to>
      <xdr:col>3</xdr:col>
      <xdr:colOff>6094180</xdr:colOff>
      <xdr:row>7</xdr:row>
      <xdr:rowOff>1879600</xdr:rowOff>
    </xdr:to>
    <xdr:pic>
      <xdr:nvPicPr>
        <xdr:cNvPr id="17" name="Certificacion_2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1367" y="2654300"/>
          <a:ext cx="1853513" cy="1828800"/>
        </a:xfrm>
        <a:prstGeom prst="rect">
          <a:avLst/>
        </a:prstGeom>
      </xdr:spPr>
    </xdr:pic>
    <xdr:clientData/>
  </xdr:twoCellAnchor>
  <xdr:twoCellAnchor editAs="oneCell">
    <xdr:from>
      <xdr:col>3</xdr:col>
      <xdr:colOff>6362700</xdr:colOff>
      <xdr:row>7</xdr:row>
      <xdr:rowOff>50800</xdr:rowOff>
    </xdr:from>
    <xdr:to>
      <xdr:col>3</xdr:col>
      <xdr:colOff>8216214</xdr:colOff>
      <xdr:row>7</xdr:row>
      <xdr:rowOff>1879600</xdr:rowOff>
    </xdr:to>
    <xdr:pic>
      <xdr:nvPicPr>
        <xdr:cNvPr id="19" name="Certificacion_3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400" y="2654300"/>
          <a:ext cx="1853514" cy="1828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10</xdr:row>
          <xdr:rowOff>12700</xdr:rowOff>
        </xdr:from>
        <xdr:to>
          <xdr:col>3</xdr:col>
          <xdr:colOff>8356600</xdr:colOff>
          <xdr:row>13</xdr:row>
          <xdr:rowOff>12700</xdr:rowOff>
        </xdr:to>
        <xdr:sp macro="" textlink="">
          <xdr:nvSpPr>
            <xdr:cNvPr id="1025" name="Button 1" descr="Obtener certificació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_tradnl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Obtener certificación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Luis Muñoz Casado" refreshedDate="45099.739150578702" createdVersion="8" refreshedVersion="8" minRefreshableVersion="3" recordCount="4" xr:uid="{3F9AD1A4-A039-6A4B-A6F7-F15E6AA3398E}">
  <cacheSource type="worksheet">
    <worksheetSource ref="A6:D10" sheet="1. ¿Qué sabemos..."/>
  </cacheSource>
  <cacheFields count="4">
    <cacheField name="Departamento" numFmtId="0">
      <sharedItems count="1">
        <s v="Todos"/>
      </sharedItems>
    </cacheField>
    <cacheField name="C.E." numFmtId="0">
      <sharedItems/>
    </cacheField>
    <cacheField name="Indicador" numFmtId="0">
      <sharedItems/>
    </cacheField>
    <cacheField name="Sí/NO" numFmtId="0">
      <sharedItems count="2">
        <s v="S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Luis Muñoz Casado" refreshedDate="45099.739150925925" createdVersion="8" refreshedVersion="8" minRefreshableVersion="3" recordCount="24" xr:uid="{757339BC-AC30-C940-8A98-DAB5455AC7FD}">
  <cacheSource type="worksheet">
    <worksheetSource ref="A6:D30" sheet="2. Más grande"/>
  </cacheSource>
  <cacheFields count="4">
    <cacheField name="Departamento" numFmtId="0">
      <sharedItems count="4">
        <s v="Ingeniería"/>
        <s v="Comercial"/>
        <s v="Instalación"/>
        <s v="Informática"/>
      </sharedItems>
    </cacheField>
    <cacheField name="C.E." numFmtId="49">
      <sharedItems/>
    </cacheField>
    <cacheField name="Indicador" numFmtId="0">
      <sharedItems/>
    </cacheField>
    <cacheField name="Sí/NO" numFmtId="0">
      <sharedItems count="2">
        <s v="S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Luis Muñoz Casado" refreshedDate="45099.73915115741" createdVersion="8" refreshedVersion="8" minRefreshableVersion="3" recordCount="21" xr:uid="{DD21D6F5-CB94-0B4A-B33A-AE05E69F7739}">
  <cacheSource type="worksheet">
    <worksheetSource ref="A6:D27" sheet="3. Eficacia y rendimiento"/>
  </cacheSource>
  <cacheFields count="4">
    <cacheField name="Departamento" numFmtId="0">
      <sharedItems count="4">
        <s v="Comercial"/>
        <s v="Informática"/>
        <s v="Ingeniería"/>
        <s v="Instalación"/>
      </sharedItems>
    </cacheField>
    <cacheField name="C.E." numFmtId="0">
      <sharedItems/>
    </cacheField>
    <cacheField name="Indicador" numFmtId="0">
      <sharedItems/>
    </cacheField>
    <cacheField name="Sí/NO" numFmtId="0">
      <sharedItems count="2">
        <s v="S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Luis Muñoz Casado" refreshedDate="45099.739151388887" createdVersion="8" refreshedVersion="8" minRefreshableVersion="3" recordCount="20" xr:uid="{F0450BE6-DCDC-554F-BCE6-9DCD1E564596}">
  <cacheSource type="worksheet">
    <worksheetSource ref="A6:D26" sheet="4. La orientacion lo es todo"/>
  </cacheSource>
  <cacheFields count="4">
    <cacheField name="Departamento" numFmtId="0">
      <sharedItems count="4">
        <s v="Comercial"/>
        <s v="Informática"/>
        <s v="Ingeniería"/>
        <s v="Instalación"/>
      </sharedItems>
    </cacheField>
    <cacheField name="C.E." numFmtId="0">
      <sharedItems/>
    </cacheField>
    <cacheField name="Indicador" numFmtId="0">
      <sharedItems/>
    </cacheField>
    <cacheField name="Sí/NO" numFmtId="0">
      <sharedItems count="2">
        <s v="S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Luis Muñoz Casado" refreshedDate="45099.73915173611" createdVersion="8" refreshedVersion="8" minRefreshableVersion="3" recordCount="4" xr:uid="{779354AA-C940-EB41-87CD-65BB38F9A2E0}">
  <cacheSource type="worksheet">
    <worksheetSource ref="A6:D10" sheet="5. Presentación"/>
  </cacheSource>
  <cacheFields count="4">
    <cacheField name="Departamento" numFmtId="0">
      <sharedItems count="2">
        <s v="Todos"/>
        <s v="Comercial" u="1"/>
      </sharedItems>
    </cacheField>
    <cacheField name="C.E." numFmtId="0">
      <sharedItems/>
    </cacheField>
    <cacheField name="Indicador" numFmtId="0">
      <sharedItems/>
    </cacheField>
    <cacheField name="Sí/NO" numFmtId="0">
      <sharedItems count="2">
        <s v="S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10.1"/>
    <s v="Colabora activamente en la presentación."/>
    <x v="0"/>
  </r>
  <r>
    <x v="0"/>
    <s v="10.1"/>
    <s v="Respeta las ideas y opiniones ajenas en el turno de preguntas"/>
    <x v="0"/>
  </r>
  <r>
    <x v="0"/>
    <s v="10.1"/>
    <s v="Es respetuoso con el resto de la clase."/>
    <x v="0"/>
  </r>
  <r>
    <x v="0"/>
    <s v="10.1"/>
    <s v="Ayuda a los compañeros en la presentación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1.2"/>
    <s v="Realiza los cálculos con los datos numéricos para calcular el número paneles."/>
    <x v="0"/>
  </r>
  <r>
    <x v="0"/>
    <s v="1.2"/>
    <s v="Utiliza variables para modelizar la situación del cálculo del número de paneles."/>
    <x v="0"/>
  </r>
  <r>
    <x v="0"/>
    <s v="1.3"/>
    <s v="Obtiene una expresión algebraica para calcular el número de paneles."/>
    <x v="0"/>
  </r>
  <r>
    <x v="0"/>
    <s v="1.1"/>
    <s v="Comprueba diferentes orientaciones."/>
    <x v="0"/>
  </r>
  <r>
    <x v="0"/>
    <s v="1.2"/>
    <s v="Crea una tabla comparativa con los diferentes modelos."/>
    <x v="0"/>
  </r>
  <r>
    <x v="0"/>
    <s v="1.2"/>
    <s v="Construye la propuesta de distribución con GeoGebra."/>
    <x v="0"/>
  </r>
  <r>
    <x v="0"/>
    <s v="3.2"/>
    <s v="Generaliza la construcción del modelo a un tejado rectangular cualquiera."/>
    <x v="0"/>
  </r>
  <r>
    <x v="1"/>
    <s v="1.1"/>
    <s v="Interpreta los datos de los paneles comprendiendo que la relación coste/potencia es un cociente de los datos."/>
    <x v="0"/>
  </r>
  <r>
    <x v="1"/>
    <s v="1.2"/>
    <s v="Crea una tabla con los datos de los paneles."/>
    <x v="0"/>
  </r>
  <r>
    <x v="1"/>
    <s v="1.2"/>
    <s v="Obtiene la relación coste/potencia con la calculadora."/>
    <x v="0"/>
  </r>
  <r>
    <x v="1"/>
    <s v="1.2"/>
    <s v="Utiliza la hoja de cálculo para recopilar la información de los 4 modelos de paneles."/>
    <x v="0"/>
  </r>
  <r>
    <x v="1"/>
    <s v="1.2"/>
    <s v="Añade fórmulas en la hoja de cálculo para obtener la relación coste/potencia."/>
    <x v="0"/>
  </r>
  <r>
    <x v="1"/>
    <s v="1.3"/>
    <s v="Elige la mejor relación coste/potencia"/>
    <x v="0"/>
  </r>
  <r>
    <x v="1"/>
    <s v="1.2"/>
    <s v="Representa gráficamente la relación coste/potencia"/>
    <x v="0"/>
  </r>
  <r>
    <x v="2"/>
    <s v="1.1"/>
    <s v="Comprende el proceso de instalación realizano un esquema de como es la instalación de los paneles."/>
    <x v="0"/>
  </r>
  <r>
    <x v="2"/>
    <s v="1.2"/>
    <s v="Realiza los cálculos con los datos numéricos para calcular el material necesario."/>
    <x v="0"/>
  </r>
  <r>
    <x v="2"/>
    <s v="1.2"/>
    <s v="Realiza un resumen de los materiales necesarios."/>
    <x v="0"/>
  </r>
  <r>
    <x v="2"/>
    <s v="3.2"/>
    <s v="Utiliza variables para modelizar la situación del cálculo de materiales necesarios para la instalación de los paneles."/>
    <x v="0"/>
  </r>
  <r>
    <x v="2"/>
    <s v="3.2"/>
    <s v="Obtiene una expresión algebraica para calcular el número de piezas de cada tipo en función de los paneles a instalar."/>
    <x v="0"/>
  </r>
  <r>
    <x v="3"/>
    <s v="1.1"/>
    <s v="Interpreta la situación como un problema matemático relacionado con el conteo."/>
    <x v="0"/>
  </r>
  <r>
    <x v="3"/>
    <s v="1.2"/>
    <s v="Realiza una codificación para cada aparta y obtiene todas las combinaciones posibles."/>
    <x v="0"/>
  </r>
  <r>
    <x v="3"/>
    <s v="1.2"/>
    <s v="Utiliza la estrategia de casos más simples. "/>
    <x v="0"/>
  </r>
  <r>
    <x v="3"/>
    <s v="3.2"/>
    <s v="Obtiene una expresión para el cálculo de las posibilidades."/>
    <x v="0"/>
  </r>
  <r>
    <x v="3"/>
    <s v="3.2"/>
    <s v="Obtiene una expresión usando variables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1.1"/>
    <s v="Interpreta la degradación de los paneles como un problema de porcentajes encadendos"/>
    <x v="0"/>
  </r>
  <r>
    <x v="0"/>
    <s v="1.2"/>
    <s v="Usa la hoja cálculo para realizar la tabla con la degradación de los paneles."/>
    <x v="0"/>
  </r>
  <r>
    <x v="0"/>
    <s v="1.2"/>
    <s v="Utiliza fórmulas en la hoja de cálculo de la degradación de los paneles."/>
    <x v="0"/>
  </r>
  <r>
    <x v="0"/>
    <s v="1.3"/>
    <s v="Obtiene la solución de la degradación utilizando porcentajes encadenados."/>
    <x v="0"/>
  </r>
  <r>
    <x v="0"/>
    <s v="2.2"/>
    <s v="Tiene en cuenta la relación coste/potencia a la hora de elegir paneles para la propuesta."/>
    <x v="0"/>
  </r>
  <r>
    <x v="1"/>
    <s v="1.1"/>
    <s v="Interpreta el cálculo de la posición de la antena como un problema de Geometría."/>
    <x v="0"/>
  </r>
  <r>
    <x v="1"/>
    <s v="1.2"/>
    <s v="Utiliza elementos analógicos o digitales para encontrar la solución."/>
    <x v="0"/>
  </r>
  <r>
    <x v="1"/>
    <s v="1.3"/>
    <s v="Encuentra el lugar del tejado donde hay que situar la antena."/>
    <x v="0"/>
  </r>
  <r>
    <x v="1"/>
    <s v="2.1"/>
    <s v="Comprueba que el lugar elegido equidista de las tres antenas."/>
    <x v="0"/>
  </r>
  <r>
    <x v="1"/>
    <s v="3.3"/>
    <s v="Propone otras soluciones para la instalación de una antena."/>
    <x v="0"/>
  </r>
  <r>
    <x v="1"/>
    <s v="7.2"/>
    <s v="Crea una representación geométrica como modelo matemático para encontrar la solución."/>
    <x v="0"/>
  </r>
  <r>
    <x v="2"/>
    <s v="1.1"/>
    <s v="Calcula la media aritmética de los consumos medios por tramos."/>
    <x v="0"/>
  </r>
  <r>
    <x v="2"/>
    <s v="1.2"/>
    <s v="Utiliza la calculadora para comprobar los consumos."/>
    <x v="0"/>
  </r>
  <r>
    <x v="2"/>
    <s v="1.3"/>
    <s v="Toma una decisión razonada sobre el consumo máximo recomendado."/>
    <x v="0"/>
  </r>
  <r>
    <x v="2"/>
    <s v="7.2"/>
    <s v="Representa los consumos por mes y franja."/>
    <x v="0"/>
  </r>
  <r>
    <x v="2"/>
    <s v="7.2"/>
    <s v="Extrae conclusiones sobre los consumos"/>
    <x v="0"/>
  </r>
  <r>
    <x v="3"/>
    <s v="1.1"/>
    <s v="Interpreta la escala proporcionada en el plano."/>
    <x v="0"/>
  </r>
  <r>
    <x v="3"/>
    <s v="1.2"/>
    <s v="Utiliza la proporcionalidad para calcular los metros de cable necesario."/>
    <x v="0"/>
  </r>
  <r>
    <x v="3"/>
    <s v="1.3"/>
    <s v="Obtiene una propuesta de cableado."/>
    <x v="0"/>
  </r>
  <r>
    <x v="3"/>
    <s v="2.1"/>
    <s v="Justifica la elección del camino de los cables."/>
    <x v="0"/>
  </r>
  <r>
    <x v="3"/>
    <s v="2.2"/>
    <s v="Tienen en cuenta la distribución de las zonas de la vivienda a la hora de tirar los cables. 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7.1"/>
    <s v="Realiza un gráfico utilizando la hoja de cálculo de las horas de sol por meses en Ciudad Real"/>
    <x v="0"/>
  </r>
  <r>
    <x v="0"/>
    <s v="1.1"/>
    <s v="Comprende el problema de la estimación de energía producida como un problema matemático de porcentajes."/>
    <x v="0"/>
  </r>
  <r>
    <x v="0"/>
    <s v="7.1"/>
    <s v="Realiza una tabla utilizando la hoja de cálculo con las horas de sol por meses en Ciudad Real."/>
    <x v="0"/>
  </r>
  <r>
    <x v="0"/>
    <s v="1.2"/>
    <s v="Utiliza fórmulas en la hoja de calculo para estimar la electricidad que producirán los paneles."/>
    <x v="0"/>
  </r>
  <r>
    <x v="0"/>
    <s v="7.1"/>
    <s v="Elabora utilizando la hoja cálculo otras representaciones de la información"/>
    <x v="0"/>
  </r>
  <r>
    <x v="0"/>
    <s v="3.1"/>
    <s v="Se pregunta como serán las horas de sol en otras provincias."/>
    <x v="0"/>
  </r>
  <r>
    <x v="1"/>
    <s v="7.2"/>
    <s v="Crea una representación del movimiento del sol explicando los elementos matemáticos necesarios."/>
    <x v="0"/>
  </r>
  <r>
    <x v="1"/>
    <s v="2.1"/>
    <s v="La representación del modelo se ajusta de forma pausible al modelo real."/>
    <x v="0"/>
  </r>
  <r>
    <x v="1"/>
    <s v="1.2"/>
    <s v="Utiliza GeoGebra para hacer la animación del movimiento el sol."/>
    <x v="0"/>
  </r>
  <r>
    <x v="1"/>
    <s v="2.2"/>
    <s v="Comprueba que la solución propuesta se ajusta a lo solicitado por el cliente."/>
    <x v="0"/>
  </r>
  <r>
    <x v="2"/>
    <s v="1.1"/>
    <s v="Comprende que hay que encontrar la latitud de Cabezarados."/>
    <x v="0"/>
  </r>
  <r>
    <x v="2"/>
    <s v="1.2"/>
    <s v="Utiliza alguna herramienta web para calcular la latitud"/>
    <x v="0"/>
  </r>
  <r>
    <x v="2"/>
    <s v="1.3"/>
    <s v="Obtiene una expresión algebraica para calcular la inclinación en cada método"/>
    <x v="0"/>
  </r>
  <r>
    <x v="2"/>
    <s v="1.3"/>
    <s v="Obtiene la inclinación en cada método."/>
    <x v="0"/>
  </r>
  <r>
    <x v="2"/>
    <s v="2.2"/>
    <s v="Toma una decisión razonada sobre la inclinación a elegir."/>
    <x v="0"/>
  </r>
  <r>
    <x v="3"/>
    <s v="1.3"/>
    <s v="Obtiene la inclinación del soporte utilizando el dato del departamento de ingeniería."/>
    <x v="0"/>
  </r>
  <r>
    <x v="3"/>
    <s v="1.1"/>
    <s v="Intepreta la proporcionalidad como método matemático para calcular las dimensiones de la estructura."/>
    <x v="0"/>
  </r>
  <r>
    <x v="3"/>
    <s v="2.2"/>
    <s v="Elije de forma razonada el soporte que mejor se ajusta a la inclinación"/>
    <x v="0"/>
  </r>
  <r>
    <x v="3"/>
    <s v="2.1"/>
    <s v="Calcula el error cometido."/>
    <x v="0"/>
  </r>
  <r>
    <x v="3"/>
    <s v="1.2"/>
    <s v="Utiliza la proporcionalidad para calculas las medias del soporte adecuadas al tamaño del panel solar.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10.1"/>
    <s v="Colabora activamente en la presentación."/>
    <x v="0"/>
  </r>
  <r>
    <x v="0"/>
    <s v="10.1"/>
    <s v="Respeta las ideas y opiniones ajenas en el turno de preguntas"/>
    <x v="0"/>
  </r>
  <r>
    <x v="0"/>
    <s v="10.1"/>
    <s v="Es respetuoso con el resto de la clase."/>
    <x v="0"/>
  </r>
  <r>
    <x v="0"/>
    <s v="10.1"/>
    <s v="Ayuda a los compañeros en la presentación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3E16C5-110B-624E-892C-D61F35BC6F8D}" name="TD1" cacheId="87" applyNumberFormats="0" applyBorderFormats="0" applyFontFormats="0" applyPatternFormats="0" applyAlignmentFormats="0" applyWidthHeightFormats="1" dataCaption="Valores" grandTotalCaption="Total" updatedVersion="8" minRefreshableVersion="3" useAutoFormatting="1" colGrandTotals="0" itemPrintTitles="1" createdVersion="8" indent="0" outline="1" outlineData="1" multipleFieldFilters="0" rowHeaderCaption="DEPARTAMENTO">
  <location ref="F6:H9" firstHeaderRow="1" firstDataRow="2" firstDataCol="1"/>
  <pivotFields count="4">
    <pivotField axis="axisRow" showAll="0">
      <items count="2">
        <item x="0"/>
        <item t="default"/>
      </items>
    </pivotField>
    <pivotField showAll="0"/>
    <pivotField showAll="0"/>
    <pivotField axis="axisCol" dataField="1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>
      <x v="1"/>
    </i>
  </colItems>
  <dataFields count="1">
    <dataField name="Cuenta de Sí/NO" fld="3" subtotal="count" baseField="0" baseItem="0"/>
  </dataFields>
  <formats count="3">
    <format dxfId="18">
      <pivotArea collapsedLevelsAreSubtotals="1" fieldPosition="0">
        <references count="1">
          <reference field="0" count="0"/>
        </references>
      </pivotArea>
    </format>
    <format dxfId="17">
      <pivotArea dataOnly="0" labelOnly="1" fieldPosition="0">
        <references count="1">
          <reference field="3" count="0"/>
        </references>
      </pivotArea>
    </format>
    <format dxfId="1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6405-BF60-7A4B-B32E-E706C42837EA}" name="TD2" cacheId="91" applyNumberFormats="0" applyBorderFormats="0" applyFontFormats="0" applyPatternFormats="0" applyAlignmentFormats="0" applyWidthHeightFormats="1" dataCaption="Valores" grandTotalCaption="Total" errorCaption="0" showError="1" missingCaption="0" updatedVersion="8" minRefreshableVersion="3" useAutoFormatting="1" colGrandTotals="0" itemPrintTitles="1" createdVersion="8" indent="0" outline="1" outlineData="1" multipleFieldFilters="0" rowHeaderCaption="DEPARTAMENTO">
  <location ref="F6:H12" firstHeaderRow="1" firstDataRow="2" firstDataCol="1"/>
  <pivotFields count="4">
    <pivotField axis="axisRow" showAll="0">
      <items count="5">
        <item x="1"/>
        <item x="3"/>
        <item x="0"/>
        <item x="2"/>
        <item t="default"/>
      </items>
    </pivotField>
    <pivotField showAll="0"/>
    <pivotField showAll="0"/>
    <pivotField axis="axisCol" dataField="1">
      <items count="3">
        <item x="0"/>
        <item m="1"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2">
    <i>
      <x/>
    </i>
    <i>
      <x v="1"/>
    </i>
  </colItems>
  <dataFields count="1">
    <dataField name="Cuenta de Sí/NO" fld="3" subtotal="count" baseField="0" baseItem="0" numFmtId="1"/>
  </dataFields>
  <formats count="5">
    <format dxfId="15">
      <pivotArea collapsedLevelsAreSubtotals="1" fieldPosition="0">
        <references count="1">
          <reference field="0" count="0"/>
        </references>
      </pivotArea>
    </format>
    <format dxfId="14">
      <pivotArea dataOnly="0" labelOnly="1" fieldPosition="0">
        <references count="1">
          <reference field="3" count="0"/>
        </references>
      </pivotArea>
    </format>
    <format dxfId="13">
      <pivotArea grandRow="1" outline="0" collapsedLevelsAreSubtotals="1" fieldPosition="0"/>
    </format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4E93CE-157A-5F46-8403-F3928A9E4111}" name="TD3" cacheId="95" applyNumberFormats="0" applyBorderFormats="0" applyFontFormats="0" applyPatternFormats="0" applyAlignmentFormats="0" applyWidthHeightFormats="1" dataCaption="Valores" grandTotalCaption="Total" errorCaption="0" showError="1" missingCaption="0" updatedVersion="8" minRefreshableVersion="3" useAutoFormatting="1" colGrandTotals="0" itemPrintTitles="1" createdVersion="8" indent="0" outline="1" outlineData="1" multipleFieldFilters="0" rowHeaderCaption="DEPARTAMENTO" colHeaderCaption=" S/N">
  <location ref="F6:H12" firstHeaderRow="1" firstDataRow="2" firstDataCol="1"/>
  <pivotFields count="4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dataField="1">
      <items count="3">
        <item x="0"/>
        <item m="1"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2">
    <i>
      <x/>
    </i>
    <i>
      <x v="1"/>
    </i>
  </colItems>
  <dataFields count="1">
    <dataField name="Cuenta de Sí/NO" fld="3" subtotal="count" baseField="0" baseItem="0" numFmtId="1"/>
  </dataFields>
  <formats count="5">
    <format dxfId="10">
      <pivotArea collapsedLevelsAreSubtotals="1" fieldPosition="0">
        <references count="1">
          <reference field="0" count="0"/>
        </references>
      </pivotArea>
    </format>
    <format dxfId="9">
      <pivotArea dataOnly="0" labelOnly="1" fieldPosition="0">
        <references count="1">
          <reference field="3" count="0"/>
        </references>
      </pivotArea>
    </format>
    <format dxfId="8">
      <pivotArea grandRow="1" outline="0" collapsedLevelsAreSubtotals="1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7FF7D-C900-6842-A630-7E6AAF243EA9}" name="TD4" cacheId="99" applyNumberFormats="0" applyBorderFormats="0" applyFontFormats="0" applyPatternFormats="0" applyAlignmentFormats="0" applyWidthHeightFormats="1" dataCaption="Valores" grandTotalCaption="Total" updatedVersion="8" minRefreshableVersion="3" useAutoFormatting="1" colGrandTotals="0" itemPrintTitles="1" createdVersion="8" indent="0" outline="1" outlineData="1" multipleFieldFilters="0" rowHeaderCaption="DEPARTAMENTO" colHeaderCaption="S/N">
  <location ref="F6:H12" firstHeaderRow="1" firstDataRow="2" firstDataCol="1"/>
  <pivotFields count="4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dataField="1">
      <items count="3">
        <item m="1" x="1"/>
        <item x="0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2">
    <i>
      <x/>
    </i>
    <i>
      <x v="1"/>
    </i>
  </colItems>
  <dataFields count="1">
    <dataField name="Cuenta de Sí/NO" fld="3" subtotal="count" baseField="0" baseItem="0"/>
  </dataFields>
  <formats count="3">
    <format dxfId="5">
      <pivotArea collapsedLevelsAreSubtotals="1" fieldPosition="0">
        <references count="1">
          <reference field="0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7183A-81CD-7748-BD88-90920CF458FA}" name="TD5" cacheId="103" applyNumberFormats="0" applyBorderFormats="0" applyFontFormats="0" applyPatternFormats="0" applyAlignmentFormats="0" applyWidthHeightFormats="1" dataCaption="Valores" grandTotalCaption="Total" updatedVersion="8" minRefreshableVersion="3" useAutoFormatting="1" colGrandTotals="0" itemPrintTitles="1" createdVersion="8" indent="0" outline="1" outlineData="1" multipleFieldFilters="0" rowHeaderCaption="DEPARTAMENTO">
  <location ref="F6:H9" firstHeaderRow="1" firstDataRow="2" firstDataCol="1"/>
  <pivotFields count="4">
    <pivotField axis="axisRow" showAll="0">
      <items count="3">
        <item m="1" x="1"/>
        <item x="0"/>
        <item t="default"/>
      </items>
    </pivotField>
    <pivotField showAll="0"/>
    <pivotField showAll="0"/>
    <pivotField axis="axisCol" dataField="1">
      <items count="3">
        <item x="0"/>
        <item m="1" x="1"/>
        <item t="default"/>
      </items>
    </pivotField>
  </pivotFields>
  <rowFields count="1">
    <field x="0"/>
  </rowFields>
  <rowItems count="2">
    <i>
      <x v="1"/>
    </i>
    <i t="grand">
      <x/>
    </i>
  </rowItems>
  <colFields count="1">
    <field x="3"/>
  </colFields>
  <colItems count="2">
    <i>
      <x/>
    </i>
    <i>
      <x v="1"/>
    </i>
  </colItems>
  <dataFields count="1">
    <dataField name="Cuenta de Sí/NO" fld="3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dataOnly="0" labelOnly="1" fieldPosition="0">
        <references count="1">
          <reference field="3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F66A0-CC86-2E40-98F1-4FDA29C6689E}">
  <sheetPr codeName="Hoja1"/>
  <dimension ref="B3:H7"/>
  <sheetViews>
    <sheetView tabSelected="1" zoomScaleNormal="100" workbookViewId="0">
      <selection activeCell="C4" sqref="C4"/>
    </sheetView>
  </sheetViews>
  <sheetFormatPr baseColWidth="10" defaultRowHeight="16" x14ac:dyDescent="0.2"/>
  <cols>
    <col min="1" max="1" width="4.6640625" customWidth="1"/>
    <col min="2" max="2" width="51.33203125" bestFit="1" customWidth="1"/>
    <col min="3" max="5" width="95.5" customWidth="1"/>
  </cols>
  <sheetData>
    <row r="3" spans="2:8" ht="70" customHeight="1" x14ac:dyDescent="0.3">
      <c r="B3" s="40" t="s">
        <v>105</v>
      </c>
      <c r="C3" s="41"/>
      <c r="D3" s="37"/>
      <c r="E3" s="37"/>
      <c r="F3" s="37"/>
      <c r="G3" s="37"/>
      <c r="H3" s="37"/>
    </row>
    <row r="4" spans="2:8" ht="50" customHeight="1" x14ac:dyDescent="0.2">
      <c r="B4" s="38" t="s">
        <v>104</v>
      </c>
      <c r="C4" s="39" t="s">
        <v>106</v>
      </c>
    </row>
    <row r="5" spans="2:8" ht="50" customHeight="1" x14ac:dyDescent="0.2">
      <c r="B5" s="38" t="s">
        <v>101</v>
      </c>
      <c r="C5" s="39" t="s">
        <v>106</v>
      </c>
    </row>
    <row r="6" spans="2:8" ht="50" customHeight="1" x14ac:dyDescent="0.2">
      <c r="B6" s="38" t="s">
        <v>102</v>
      </c>
      <c r="C6" s="39" t="s">
        <v>106</v>
      </c>
    </row>
    <row r="7" spans="2:8" ht="50" customHeight="1" x14ac:dyDescent="0.2">
      <c r="B7" s="38" t="s">
        <v>103</v>
      </c>
      <c r="C7" s="39" t="s">
        <v>106</v>
      </c>
    </row>
  </sheetData>
  <mergeCells count="1">
    <mergeCell ref="B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B920E-4982-034A-A613-2B1BE5C0AF58}">
  <sheetPr codeName="Hoja8"/>
  <dimension ref="A2:I26"/>
  <sheetViews>
    <sheetView workbookViewId="0">
      <selection activeCell="D11" sqref="D11"/>
    </sheetView>
  </sheetViews>
  <sheetFormatPr baseColWidth="10" defaultRowHeight="16" x14ac:dyDescent="0.2"/>
  <cols>
    <col min="1" max="1" width="17" bestFit="1" customWidth="1"/>
    <col min="2" max="2" width="6.5" customWidth="1"/>
    <col min="3" max="3" width="101.5" customWidth="1"/>
    <col min="4" max="4" width="12" bestFit="1" customWidth="1"/>
    <col min="5" max="5" width="2.83203125" customWidth="1"/>
    <col min="6" max="6" width="17.83203125" bestFit="1" customWidth="1"/>
    <col min="7" max="7" width="21.5" bestFit="1" customWidth="1"/>
    <col min="8" max="8" width="2.5" bestFit="1" customWidth="1"/>
    <col min="9" max="9" width="10.33203125" bestFit="1" customWidth="1"/>
    <col min="10" max="10" width="27" bestFit="1" customWidth="1"/>
    <col min="11" max="11" width="19.83203125" bestFit="1" customWidth="1"/>
  </cols>
  <sheetData>
    <row r="2" spans="1:9" ht="21" x14ac:dyDescent="0.25">
      <c r="A2" s="17" t="s">
        <v>0</v>
      </c>
      <c r="B2" s="42" t="str">
        <f>'Datos Empresa'!B3</f>
        <v>&lt;Aquí el nombre de la empresa&gt;</v>
      </c>
      <c r="C2" s="43"/>
    </row>
    <row r="3" spans="1:9" ht="21" x14ac:dyDescent="0.25">
      <c r="A3" s="18" t="s">
        <v>1</v>
      </c>
      <c r="B3" s="44"/>
      <c r="C3" s="45"/>
    </row>
    <row r="6" spans="1:9" ht="19" x14ac:dyDescent="0.25">
      <c r="A6" s="16" t="s">
        <v>4</v>
      </c>
      <c r="B6" s="16" t="s">
        <v>2</v>
      </c>
      <c r="C6" s="16" t="s">
        <v>3</v>
      </c>
      <c r="D6" s="16" t="s">
        <v>39</v>
      </c>
      <c r="E6" s="10"/>
      <c r="F6" s="11" t="s">
        <v>40</v>
      </c>
      <c r="G6" s="11" t="s">
        <v>41</v>
      </c>
    </row>
    <row r="7" spans="1:9" ht="20" customHeight="1" x14ac:dyDescent="0.25">
      <c r="A7" s="6" t="s">
        <v>98</v>
      </c>
      <c r="B7" s="1" t="s">
        <v>93</v>
      </c>
      <c r="C7" s="19" t="s">
        <v>94</v>
      </c>
      <c r="D7" s="1" t="s">
        <v>37</v>
      </c>
      <c r="F7" s="11" t="s">
        <v>42</v>
      </c>
      <c r="G7" s="1" t="s">
        <v>37</v>
      </c>
      <c r="H7" s="1" t="s">
        <v>38</v>
      </c>
      <c r="I7" s="14" t="s">
        <v>44</v>
      </c>
    </row>
    <row r="8" spans="1:9" ht="20" customHeight="1" x14ac:dyDescent="0.25">
      <c r="A8" s="6" t="s">
        <v>98</v>
      </c>
      <c r="B8" s="1" t="s">
        <v>93</v>
      </c>
      <c r="C8" s="19" t="s">
        <v>95</v>
      </c>
      <c r="D8" s="1" t="s">
        <v>37</v>
      </c>
      <c r="F8" s="12" t="s">
        <v>98</v>
      </c>
      <c r="G8" s="61">
        <v>4</v>
      </c>
      <c r="H8" s="61"/>
      <c r="I8" s="13">
        <f>GETPIVOTDATA("Sí/NO",$F$6,"Departamento","Todos","Sí/NO","S")/(COUNTIF(A7:A10,"Todos"))</f>
        <v>1</v>
      </c>
    </row>
    <row r="9" spans="1:9" ht="20" customHeight="1" x14ac:dyDescent="0.25">
      <c r="A9" s="6" t="s">
        <v>98</v>
      </c>
      <c r="B9" s="1" t="s">
        <v>93</v>
      </c>
      <c r="C9" s="19" t="s">
        <v>96</v>
      </c>
      <c r="D9" s="1" t="s">
        <v>37</v>
      </c>
      <c r="F9" s="12" t="s">
        <v>43</v>
      </c>
      <c r="G9" s="61">
        <v>4</v>
      </c>
      <c r="H9" s="61"/>
      <c r="I9" s="13">
        <f>GETPIVOTDATA("Sí/NO",$F$6,"Sí/NO","S")/(COUNTIF(A7:A10,"Todos"))</f>
        <v>1</v>
      </c>
    </row>
    <row r="10" spans="1:9" ht="20" customHeight="1" x14ac:dyDescent="0.25">
      <c r="A10" s="6" t="s">
        <v>98</v>
      </c>
      <c r="B10" s="1" t="s">
        <v>93</v>
      </c>
      <c r="C10" s="19" t="s">
        <v>97</v>
      </c>
      <c r="D10" s="1" t="s">
        <v>37</v>
      </c>
      <c r="I10" s="13"/>
    </row>
    <row r="11" spans="1:9" ht="20" customHeight="1" x14ac:dyDescent="0.2">
      <c r="A11" s="6"/>
      <c r="B11" s="6"/>
      <c r="C11" s="20"/>
      <c r="D11" s="1"/>
      <c r="I11" s="13"/>
    </row>
    <row r="12" spans="1:9" ht="20" customHeight="1" x14ac:dyDescent="0.2">
      <c r="A12" s="6"/>
      <c r="B12" s="6"/>
      <c r="C12" s="20"/>
      <c r="D12" s="1"/>
      <c r="I12" s="36"/>
    </row>
    <row r="13" spans="1:9" ht="20" customHeight="1" x14ac:dyDescent="0.25">
      <c r="A13" s="6"/>
      <c r="B13" s="1"/>
      <c r="C13" s="19"/>
      <c r="D13" s="1"/>
    </row>
    <row r="14" spans="1:9" ht="20" customHeight="1" x14ac:dyDescent="0.25">
      <c r="A14" s="6"/>
      <c r="B14" s="1"/>
      <c r="C14" s="19"/>
      <c r="D14" s="1"/>
    </row>
    <row r="15" spans="1:9" ht="20" customHeight="1" x14ac:dyDescent="0.25">
      <c r="A15" s="6"/>
      <c r="B15" s="4"/>
      <c r="C15" s="19"/>
      <c r="D15" s="1"/>
    </row>
    <row r="16" spans="1:9" ht="20" customHeight="1" x14ac:dyDescent="0.25">
      <c r="A16" s="6"/>
      <c r="B16" s="1"/>
      <c r="C16" s="19"/>
      <c r="D16" s="1"/>
      <c r="F16" s="46" t="s">
        <v>68</v>
      </c>
      <c r="G16" s="48">
        <f>I9*100</f>
        <v>100</v>
      </c>
      <c r="H16" s="49"/>
      <c r="I16" s="50"/>
    </row>
    <row r="17" spans="1:9" ht="20" customHeight="1" x14ac:dyDescent="0.2">
      <c r="A17" s="2"/>
      <c r="B17" s="1"/>
      <c r="D17" s="1"/>
      <c r="F17" s="47"/>
      <c r="G17" s="51"/>
      <c r="H17" s="52"/>
      <c r="I17" s="53"/>
    </row>
    <row r="18" spans="1:9" ht="20" customHeight="1" x14ac:dyDescent="0.2">
      <c r="A18" s="2"/>
      <c r="B18" s="1"/>
      <c r="D18" s="1"/>
      <c r="F18" s="47"/>
      <c r="G18" s="54"/>
      <c r="H18" s="55"/>
      <c r="I18" s="56"/>
    </row>
    <row r="19" spans="1:9" ht="20" customHeight="1" x14ac:dyDescent="0.2">
      <c r="A19" s="2"/>
      <c r="B19" s="1"/>
      <c r="D19" s="1"/>
    </row>
    <row r="20" spans="1:9" ht="20" customHeight="1" x14ac:dyDescent="0.2">
      <c r="A20" s="2"/>
      <c r="B20" s="1"/>
      <c r="D20" s="1"/>
    </row>
    <row r="21" spans="1:9" ht="20" customHeight="1" x14ac:dyDescent="0.2">
      <c r="A21" s="2"/>
      <c r="B21" s="1"/>
      <c r="D21" s="1"/>
    </row>
    <row r="22" spans="1:9" ht="20" customHeight="1" x14ac:dyDescent="0.25">
      <c r="A22" s="6"/>
      <c r="B22" s="4"/>
      <c r="D22" s="1"/>
    </row>
    <row r="23" spans="1:9" ht="20" customHeight="1" x14ac:dyDescent="0.2">
      <c r="A23" s="6"/>
      <c r="B23" s="8"/>
      <c r="C23" s="21"/>
      <c r="D23" s="1"/>
    </row>
    <row r="24" spans="1:9" ht="20" customHeight="1" x14ac:dyDescent="0.2">
      <c r="A24" s="6"/>
      <c r="B24" s="6"/>
      <c r="C24" s="20"/>
      <c r="D24" s="1"/>
    </row>
    <row r="25" spans="1:9" ht="20" customHeight="1" x14ac:dyDescent="0.2">
      <c r="A25" s="6"/>
      <c r="B25" s="6"/>
      <c r="C25" s="7"/>
      <c r="D25" s="1"/>
    </row>
    <row r="26" spans="1:9" x14ac:dyDescent="0.2">
      <c r="A26" s="6"/>
      <c r="B26" s="6"/>
      <c r="C26" s="7"/>
      <c r="D26" s="1"/>
    </row>
  </sheetData>
  <mergeCells count="4">
    <mergeCell ref="B2:C2"/>
    <mergeCell ref="B3:C3"/>
    <mergeCell ref="F16:F18"/>
    <mergeCell ref="G16:I18"/>
  </mergeCells>
  <dataValidations count="1">
    <dataValidation type="list" allowBlank="1" showDropDown="1" showInputMessage="1" showErrorMessage="1" error="Introduzca S o N" sqref="D7:D10" xr:uid="{62403681-5F9D-7941-8C54-561061C96C4E}">
      <formula1>"S,N"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A7F6-9C4E-8045-8C7F-9A082960F905}">
  <sheetPr codeName="Hoja7"/>
  <dimension ref="A2:I30"/>
  <sheetViews>
    <sheetView workbookViewId="0">
      <selection activeCell="D8" sqref="D8"/>
    </sheetView>
  </sheetViews>
  <sheetFormatPr baseColWidth="10" defaultRowHeight="16" x14ac:dyDescent="0.2"/>
  <cols>
    <col min="1" max="1" width="17" bestFit="1" customWidth="1"/>
    <col min="2" max="2" width="6.5" customWidth="1"/>
    <col min="3" max="3" width="101.5" customWidth="1"/>
    <col min="4" max="4" width="12" bestFit="1" customWidth="1"/>
    <col min="5" max="5" width="2.83203125" customWidth="1"/>
    <col min="6" max="6" width="17.83203125" bestFit="1" customWidth="1"/>
    <col min="7" max="7" width="21.5" bestFit="1" customWidth="1"/>
    <col min="8" max="8" width="2.5" bestFit="1" customWidth="1"/>
    <col min="9" max="9" width="12" bestFit="1" customWidth="1"/>
    <col min="10" max="10" width="27" bestFit="1" customWidth="1"/>
    <col min="11" max="11" width="19.83203125" bestFit="1" customWidth="1"/>
  </cols>
  <sheetData>
    <row r="2" spans="1:9" ht="21" x14ac:dyDescent="0.25">
      <c r="A2" s="17" t="s">
        <v>0</v>
      </c>
      <c r="B2" s="57" t="str">
        <f>'Datos Empresa'!B3</f>
        <v>&lt;Aquí el nombre de la empresa&gt;</v>
      </c>
      <c r="C2" s="58"/>
    </row>
    <row r="3" spans="1:9" ht="21" x14ac:dyDescent="0.25">
      <c r="A3" s="18" t="s">
        <v>1</v>
      </c>
      <c r="B3" s="44"/>
      <c r="C3" s="45"/>
    </row>
    <row r="6" spans="1:9" ht="19" x14ac:dyDescent="0.25">
      <c r="A6" s="16" t="s">
        <v>4</v>
      </c>
      <c r="B6" s="16" t="s">
        <v>2</v>
      </c>
      <c r="C6" s="16" t="s">
        <v>3</v>
      </c>
      <c r="D6" s="16" t="s">
        <v>39</v>
      </c>
      <c r="E6" s="10"/>
      <c r="F6" s="11" t="s">
        <v>40</v>
      </c>
      <c r="G6" s="11" t="s">
        <v>41</v>
      </c>
    </row>
    <row r="7" spans="1:9" ht="20" customHeight="1" x14ac:dyDescent="0.2">
      <c r="A7" s="2" t="s">
        <v>5</v>
      </c>
      <c r="B7" s="31" t="s">
        <v>6</v>
      </c>
      <c r="C7" s="3" t="s">
        <v>7</v>
      </c>
      <c r="D7" s="6" t="s">
        <v>37</v>
      </c>
      <c r="F7" s="11" t="s">
        <v>42</v>
      </c>
      <c r="G7" s="1" t="s">
        <v>37</v>
      </c>
      <c r="H7" s="1" t="s">
        <v>38</v>
      </c>
      <c r="I7" s="14" t="s">
        <v>44</v>
      </c>
    </row>
    <row r="8" spans="1:9" ht="20" customHeight="1" x14ac:dyDescent="0.2">
      <c r="A8" s="2" t="s">
        <v>5</v>
      </c>
      <c r="B8" s="31" t="s">
        <v>6</v>
      </c>
      <c r="C8" s="3" t="s">
        <v>8</v>
      </c>
      <c r="D8" s="6" t="s">
        <v>37</v>
      </c>
      <c r="F8" s="12" t="s">
        <v>17</v>
      </c>
      <c r="G8" s="35">
        <v>7</v>
      </c>
      <c r="H8" s="35">
        <v>0</v>
      </c>
      <c r="I8" s="13">
        <f>GETPIVOTDATA("Sí/NO",$F$6,"Departamento","Comercial","Sí/NO","S")/(COUNTIF(A7:A27,"Comercial"))</f>
        <v>1</v>
      </c>
    </row>
    <row r="9" spans="1:9" ht="20" customHeight="1" x14ac:dyDescent="0.2">
      <c r="A9" s="2" t="s">
        <v>5</v>
      </c>
      <c r="B9" s="31" t="s">
        <v>9</v>
      </c>
      <c r="C9" s="3" t="s">
        <v>10</v>
      </c>
      <c r="D9" s="6" t="s">
        <v>37</v>
      </c>
      <c r="F9" s="12" t="s">
        <v>31</v>
      </c>
      <c r="G9" s="35">
        <v>5</v>
      </c>
      <c r="H9" s="35">
        <v>0</v>
      </c>
      <c r="I9" s="13">
        <f>GETPIVOTDATA("Sí/NO",$F$6,"Departamento","Informática","Sí/NO","S")/COUNTIF(A8:A31,"Informática")</f>
        <v>1</v>
      </c>
    </row>
    <row r="10" spans="1:9" ht="20" customHeight="1" x14ac:dyDescent="0.2">
      <c r="A10" s="2" t="s">
        <v>5</v>
      </c>
      <c r="B10" s="31" t="s">
        <v>11</v>
      </c>
      <c r="C10" s="3" t="s">
        <v>12</v>
      </c>
      <c r="D10" s="6" t="s">
        <v>37</v>
      </c>
      <c r="F10" s="12" t="s">
        <v>5</v>
      </c>
      <c r="G10" s="35">
        <v>7</v>
      </c>
      <c r="H10" s="35">
        <v>0</v>
      </c>
      <c r="I10" s="13">
        <f>GETPIVOTDATA("Sí/NO",$F$6,"Departamento","Ingeniería","Sí/NO","S")/COUNTIF(A7:A30,"Ingeniería")</f>
        <v>1</v>
      </c>
    </row>
    <row r="11" spans="1:9" ht="20" customHeight="1" x14ac:dyDescent="0.2">
      <c r="A11" s="2" t="s">
        <v>5</v>
      </c>
      <c r="B11" s="31" t="s">
        <v>6</v>
      </c>
      <c r="C11" s="3" t="s">
        <v>13</v>
      </c>
      <c r="D11" s="6" t="s">
        <v>37</v>
      </c>
      <c r="F11" s="12" t="s">
        <v>25</v>
      </c>
      <c r="G11" s="35">
        <v>5</v>
      </c>
      <c r="H11" s="35">
        <v>0</v>
      </c>
      <c r="I11" s="13">
        <f>GETPIVOTDATA("Sí/NO",$F$6,"Departamento","Instalación","Sí/NO","S")/COUNTIF(A7:A30,"Instalación")</f>
        <v>1</v>
      </c>
    </row>
    <row r="12" spans="1:9" ht="20" customHeight="1" x14ac:dyDescent="0.2">
      <c r="A12" s="2" t="s">
        <v>5</v>
      </c>
      <c r="B12" s="31" t="s">
        <v>6</v>
      </c>
      <c r="C12" s="3" t="s">
        <v>14</v>
      </c>
      <c r="D12" s="6" t="s">
        <v>37</v>
      </c>
      <c r="F12" s="12" t="s">
        <v>43</v>
      </c>
      <c r="G12" s="35">
        <v>24</v>
      </c>
      <c r="H12" s="35">
        <v>0</v>
      </c>
      <c r="I12" s="15">
        <f>GETPIVOTDATA("Sí/NO",$F$6,"Sí/NO","S")/COUNTA(A7:A30)</f>
        <v>1</v>
      </c>
    </row>
    <row r="13" spans="1:9" ht="20" customHeight="1" x14ac:dyDescent="0.2">
      <c r="A13" s="2" t="s">
        <v>5</v>
      </c>
      <c r="B13" s="31" t="s">
        <v>15</v>
      </c>
      <c r="C13" s="3" t="s">
        <v>16</v>
      </c>
      <c r="D13" s="6" t="s">
        <v>37</v>
      </c>
    </row>
    <row r="14" spans="1:9" ht="20" customHeight="1" x14ac:dyDescent="0.25">
      <c r="A14" s="2" t="s">
        <v>17</v>
      </c>
      <c r="B14" s="32" t="s">
        <v>11</v>
      </c>
      <c r="C14" s="5" t="s">
        <v>18</v>
      </c>
      <c r="D14" s="6" t="s">
        <v>37</v>
      </c>
    </row>
    <row r="15" spans="1:9" ht="20" customHeight="1" x14ac:dyDescent="0.2">
      <c r="A15" s="2" t="s">
        <v>17</v>
      </c>
      <c r="B15" s="33" t="s">
        <v>6</v>
      </c>
      <c r="C15" s="7" t="s">
        <v>19</v>
      </c>
      <c r="D15" s="6" t="s">
        <v>37</v>
      </c>
    </row>
    <row r="16" spans="1:9" ht="20" customHeight="1" x14ac:dyDescent="0.2">
      <c r="A16" s="2" t="s">
        <v>17</v>
      </c>
      <c r="B16" s="33" t="s">
        <v>6</v>
      </c>
      <c r="C16" s="7" t="s">
        <v>20</v>
      </c>
      <c r="D16" s="6" t="s">
        <v>37</v>
      </c>
      <c r="F16" s="46" t="s">
        <v>68</v>
      </c>
      <c r="G16" s="48">
        <f>I12*100</f>
        <v>100</v>
      </c>
      <c r="H16" s="49"/>
      <c r="I16" s="50"/>
    </row>
    <row r="17" spans="1:9" ht="20" customHeight="1" x14ac:dyDescent="0.2">
      <c r="A17" s="2" t="s">
        <v>17</v>
      </c>
      <c r="B17" s="33" t="s">
        <v>6</v>
      </c>
      <c r="C17" s="7" t="s">
        <v>21</v>
      </c>
      <c r="D17" s="6" t="s">
        <v>37</v>
      </c>
      <c r="F17" s="47"/>
      <c r="G17" s="51"/>
      <c r="H17" s="52"/>
      <c r="I17" s="53"/>
    </row>
    <row r="18" spans="1:9" ht="20" customHeight="1" x14ac:dyDescent="0.2">
      <c r="A18" s="2" t="s">
        <v>17</v>
      </c>
      <c r="B18" s="33" t="s">
        <v>6</v>
      </c>
      <c r="C18" s="7" t="s">
        <v>22</v>
      </c>
      <c r="D18" s="6" t="s">
        <v>37</v>
      </c>
      <c r="F18" s="47"/>
      <c r="G18" s="54"/>
      <c r="H18" s="55"/>
      <c r="I18" s="56"/>
    </row>
    <row r="19" spans="1:9" ht="20" customHeight="1" x14ac:dyDescent="0.2">
      <c r="A19" s="2" t="s">
        <v>17</v>
      </c>
      <c r="B19" s="33" t="s">
        <v>9</v>
      </c>
      <c r="C19" s="7" t="s">
        <v>23</v>
      </c>
      <c r="D19" s="6" t="s">
        <v>37</v>
      </c>
    </row>
    <row r="20" spans="1:9" ht="20" customHeight="1" x14ac:dyDescent="0.2">
      <c r="A20" s="2" t="s">
        <v>17</v>
      </c>
      <c r="B20" s="33" t="s">
        <v>6</v>
      </c>
      <c r="C20" s="7" t="s">
        <v>24</v>
      </c>
      <c r="D20" s="6" t="s">
        <v>37</v>
      </c>
    </row>
    <row r="21" spans="1:9" ht="20" customHeight="1" x14ac:dyDescent="0.2">
      <c r="A21" s="2" t="s">
        <v>25</v>
      </c>
      <c r="B21" s="34" t="s">
        <v>11</v>
      </c>
      <c r="C21" s="9" t="s">
        <v>26</v>
      </c>
      <c r="D21" s="6" t="s">
        <v>37</v>
      </c>
    </row>
    <row r="22" spans="1:9" ht="20" customHeight="1" x14ac:dyDescent="0.2">
      <c r="A22" s="2" t="s">
        <v>25</v>
      </c>
      <c r="B22" s="33" t="s">
        <v>6</v>
      </c>
      <c r="C22" s="7" t="s">
        <v>27</v>
      </c>
      <c r="D22" s="6" t="s">
        <v>37</v>
      </c>
    </row>
    <row r="23" spans="1:9" ht="20" customHeight="1" x14ac:dyDescent="0.2">
      <c r="A23" s="2" t="s">
        <v>25</v>
      </c>
      <c r="B23" s="33" t="s">
        <v>6</v>
      </c>
      <c r="C23" s="7" t="s">
        <v>28</v>
      </c>
      <c r="D23" s="6" t="s">
        <v>37</v>
      </c>
    </row>
    <row r="24" spans="1:9" ht="20" customHeight="1" x14ac:dyDescent="0.2">
      <c r="A24" s="2" t="s">
        <v>25</v>
      </c>
      <c r="B24" s="33" t="s">
        <v>15</v>
      </c>
      <c r="C24" s="7" t="s">
        <v>29</v>
      </c>
      <c r="D24" s="6" t="s">
        <v>37</v>
      </c>
    </row>
    <row r="25" spans="1:9" ht="20" customHeight="1" x14ac:dyDescent="0.2">
      <c r="A25" s="2" t="s">
        <v>25</v>
      </c>
      <c r="B25" s="33" t="s">
        <v>15</v>
      </c>
      <c r="C25" s="7" t="s">
        <v>30</v>
      </c>
      <c r="D25" s="6" t="s">
        <v>37</v>
      </c>
    </row>
    <row r="26" spans="1:9" ht="17" x14ac:dyDescent="0.25">
      <c r="A26" s="2" t="s">
        <v>31</v>
      </c>
      <c r="B26" s="32" t="s">
        <v>11</v>
      </c>
      <c r="C26" s="5" t="s">
        <v>32</v>
      </c>
      <c r="D26" s="6" t="s">
        <v>37</v>
      </c>
    </row>
    <row r="27" spans="1:9" ht="17" x14ac:dyDescent="0.2">
      <c r="A27" s="2" t="s">
        <v>31</v>
      </c>
      <c r="B27" s="33" t="s">
        <v>6</v>
      </c>
      <c r="C27" s="7" t="s">
        <v>33</v>
      </c>
      <c r="D27" s="6" t="s">
        <v>37</v>
      </c>
    </row>
    <row r="28" spans="1:9" ht="17" x14ac:dyDescent="0.2">
      <c r="A28" s="2" t="s">
        <v>31</v>
      </c>
      <c r="B28" s="33" t="s">
        <v>6</v>
      </c>
      <c r="C28" s="7" t="s">
        <v>34</v>
      </c>
      <c r="D28" s="6" t="s">
        <v>37</v>
      </c>
    </row>
    <row r="29" spans="1:9" ht="17" x14ac:dyDescent="0.2">
      <c r="A29" s="2" t="s">
        <v>31</v>
      </c>
      <c r="B29" s="33" t="s">
        <v>15</v>
      </c>
      <c r="C29" s="7" t="s">
        <v>35</v>
      </c>
      <c r="D29" s="6" t="s">
        <v>37</v>
      </c>
    </row>
    <row r="30" spans="1:9" ht="17" x14ac:dyDescent="0.2">
      <c r="A30" s="2" t="s">
        <v>31</v>
      </c>
      <c r="B30" s="33" t="s">
        <v>15</v>
      </c>
      <c r="C30" s="7" t="s">
        <v>36</v>
      </c>
      <c r="D30" s="6" t="s">
        <v>37</v>
      </c>
      <c r="G30" s="1"/>
      <c r="H30" s="1"/>
    </row>
  </sheetData>
  <mergeCells count="4">
    <mergeCell ref="B2:C2"/>
    <mergeCell ref="B3:C3"/>
    <mergeCell ref="F16:F18"/>
    <mergeCell ref="G16:I18"/>
  </mergeCells>
  <dataValidations count="1">
    <dataValidation type="list" allowBlank="1" showDropDown="1" showInputMessage="1" showErrorMessage="1" error="Introduzca S o N" sqref="D7:D30" xr:uid="{FF54159E-60A6-B644-B1AA-DF59CAD87213}">
      <formula1>"S,N"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BAF2-7B1F-1848-A036-342C6A0C9C26}">
  <sheetPr codeName="Hoja3"/>
  <dimension ref="A2:I30"/>
  <sheetViews>
    <sheetView workbookViewId="0">
      <selection activeCell="G1" sqref="G1:H1048576"/>
    </sheetView>
  </sheetViews>
  <sheetFormatPr baseColWidth="10" defaultRowHeight="16" x14ac:dyDescent="0.2"/>
  <cols>
    <col min="1" max="1" width="17" bestFit="1" customWidth="1"/>
    <col min="2" max="2" width="6.5" customWidth="1"/>
    <col min="3" max="3" width="101.5" customWidth="1"/>
    <col min="4" max="4" width="12" bestFit="1" customWidth="1"/>
    <col min="5" max="5" width="2.83203125" customWidth="1"/>
    <col min="6" max="6" width="17.83203125" bestFit="1" customWidth="1"/>
    <col min="7" max="7" width="7.33203125" bestFit="1" customWidth="1"/>
    <col min="8" max="8" width="2.5" bestFit="1" customWidth="1"/>
    <col min="9" max="9" width="12" bestFit="1" customWidth="1"/>
    <col min="10" max="10" width="27" bestFit="1" customWidth="1"/>
    <col min="11" max="11" width="19.83203125" bestFit="1" customWidth="1"/>
  </cols>
  <sheetData>
    <row r="2" spans="1:9" ht="21" x14ac:dyDescent="0.25">
      <c r="A2" s="17" t="s">
        <v>0</v>
      </c>
      <c r="B2" s="57" t="str">
        <f>'Datos Empresa'!B3</f>
        <v>&lt;Aquí el nombre de la empresa&gt;</v>
      </c>
      <c r="C2" s="58"/>
    </row>
    <row r="3" spans="1:9" ht="21" x14ac:dyDescent="0.25">
      <c r="A3" s="18" t="s">
        <v>1</v>
      </c>
      <c r="B3" s="44"/>
      <c r="C3" s="45"/>
    </row>
    <row r="6" spans="1:9" ht="19" x14ac:dyDescent="0.25">
      <c r="A6" s="16" t="s">
        <v>4</v>
      </c>
      <c r="B6" s="16" t="s">
        <v>2</v>
      </c>
      <c r="C6" s="16" t="s">
        <v>3</v>
      </c>
      <c r="D6" s="16" t="s">
        <v>39</v>
      </c>
      <c r="E6" s="10"/>
      <c r="F6" s="11" t="s">
        <v>40</v>
      </c>
      <c r="G6" s="11" t="s">
        <v>99</v>
      </c>
    </row>
    <row r="7" spans="1:9" ht="20" customHeight="1" x14ac:dyDescent="0.25">
      <c r="A7" s="1" t="s">
        <v>17</v>
      </c>
      <c r="B7" s="4" t="s">
        <v>11</v>
      </c>
      <c r="C7" s="19" t="s">
        <v>45</v>
      </c>
      <c r="D7" s="1" t="s">
        <v>37</v>
      </c>
      <c r="F7" s="11" t="s">
        <v>42</v>
      </c>
      <c r="G7" s="1" t="s">
        <v>37</v>
      </c>
      <c r="H7" s="1" t="s">
        <v>38</v>
      </c>
      <c r="I7" s="14" t="s">
        <v>44</v>
      </c>
    </row>
    <row r="8" spans="1:9" ht="20" customHeight="1" x14ac:dyDescent="0.2">
      <c r="A8" s="1" t="s">
        <v>17</v>
      </c>
      <c r="B8" s="1" t="s">
        <v>6</v>
      </c>
      <c r="C8" t="s">
        <v>46</v>
      </c>
      <c r="D8" s="1" t="s">
        <v>37</v>
      </c>
      <c r="F8" s="12" t="s">
        <v>17</v>
      </c>
      <c r="G8" s="35">
        <v>5</v>
      </c>
      <c r="H8" s="35">
        <v>0</v>
      </c>
      <c r="I8" s="13">
        <f>GETPIVOTDATA("Sí/NO",$F$6,"Departamento","Comercial","Sí/NO","S")/(COUNTIF(A7:A27,"Comercial"))</f>
        <v>1</v>
      </c>
    </row>
    <row r="9" spans="1:9" ht="20" customHeight="1" x14ac:dyDescent="0.2">
      <c r="A9" s="1" t="s">
        <v>17</v>
      </c>
      <c r="B9" s="1" t="s">
        <v>6</v>
      </c>
      <c r="C9" t="s">
        <v>47</v>
      </c>
      <c r="D9" s="1" t="s">
        <v>37</v>
      </c>
      <c r="F9" s="12" t="s">
        <v>31</v>
      </c>
      <c r="G9" s="35">
        <v>6</v>
      </c>
      <c r="H9" s="35">
        <v>0</v>
      </c>
      <c r="I9" s="13">
        <f>GETPIVOTDATA("Sí/NO",$F$6,"Departamento","Informática","Sí/NO","S")/COUNTIF(A8:A31,"Informática")</f>
        <v>1</v>
      </c>
    </row>
    <row r="10" spans="1:9" ht="20" customHeight="1" x14ac:dyDescent="0.25">
      <c r="A10" s="1" t="s">
        <v>17</v>
      </c>
      <c r="B10" s="4" t="s">
        <v>9</v>
      </c>
      <c r="C10" s="19" t="s">
        <v>48</v>
      </c>
      <c r="D10" s="1" t="s">
        <v>37</v>
      </c>
      <c r="F10" s="12" t="s">
        <v>5</v>
      </c>
      <c r="G10" s="35">
        <v>5</v>
      </c>
      <c r="H10" s="35">
        <v>0</v>
      </c>
      <c r="I10" s="13">
        <f>GETPIVOTDATA("Sí/NO",$F$6,"Departamento","Ingeniería","Sí/NO","S")/COUNTIF(A7:A30,"Ingeniería")</f>
        <v>1</v>
      </c>
    </row>
    <row r="11" spans="1:9" ht="20" customHeight="1" x14ac:dyDescent="0.2">
      <c r="A11" s="1" t="s">
        <v>17</v>
      </c>
      <c r="B11" s="1" t="s">
        <v>49</v>
      </c>
      <c r="C11" t="s">
        <v>50</v>
      </c>
      <c r="D11" s="1" t="s">
        <v>37</v>
      </c>
      <c r="F11" s="12" t="s">
        <v>25</v>
      </c>
      <c r="G11" s="35">
        <v>5</v>
      </c>
      <c r="H11" s="35">
        <v>0</v>
      </c>
      <c r="I11" s="13">
        <f>GETPIVOTDATA("Sí/NO",$F$6,"Departamento","Instalación","Sí/NO","S")/COUNTIF(A7:A30,"Instalación")</f>
        <v>1</v>
      </c>
    </row>
    <row r="12" spans="1:9" ht="20" customHeight="1" x14ac:dyDescent="0.25">
      <c r="A12" s="1" t="s">
        <v>31</v>
      </c>
      <c r="B12" s="4" t="s">
        <v>11</v>
      </c>
      <c r="C12" s="19" t="s">
        <v>51</v>
      </c>
      <c r="D12" s="1" t="s">
        <v>37</v>
      </c>
      <c r="F12" s="12" t="s">
        <v>43</v>
      </c>
      <c r="G12" s="35">
        <v>21</v>
      </c>
      <c r="H12" s="35">
        <v>0</v>
      </c>
      <c r="I12" s="15">
        <f>GETPIVOTDATA("Sí/NO",$F$6,"Sí/NO","S")/COUNTA(A7:A30)</f>
        <v>1</v>
      </c>
    </row>
    <row r="13" spans="1:9" ht="20" customHeight="1" x14ac:dyDescent="0.25">
      <c r="A13" s="1" t="s">
        <v>31</v>
      </c>
      <c r="B13" s="1" t="s">
        <v>6</v>
      </c>
      <c r="C13" s="19" t="s">
        <v>52</v>
      </c>
      <c r="D13" s="1" t="s">
        <v>37</v>
      </c>
    </row>
    <row r="14" spans="1:9" ht="20" customHeight="1" x14ac:dyDescent="0.25">
      <c r="A14" s="1" t="s">
        <v>31</v>
      </c>
      <c r="B14" s="4" t="s">
        <v>9</v>
      </c>
      <c r="C14" s="19" t="s">
        <v>53</v>
      </c>
      <c r="D14" s="1" t="s">
        <v>37</v>
      </c>
    </row>
    <row r="15" spans="1:9" ht="20" customHeight="1" x14ac:dyDescent="0.2">
      <c r="A15" s="1" t="s">
        <v>31</v>
      </c>
      <c r="B15" s="1" t="s">
        <v>54</v>
      </c>
      <c r="C15" t="s">
        <v>55</v>
      </c>
      <c r="D15" s="1" t="s">
        <v>37</v>
      </c>
    </row>
    <row r="16" spans="1:9" ht="20" customHeight="1" x14ac:dyDescent="0.2">
      <c r="A16" s="1" t="s">
        <v>31</v>
      </c>
      <c r="B16" s="1" t="s">
        <v>56</v>
      </c>
      <c r="C16" t="s">
        <v>57</v>
      </c>
      <c r="D16" s="1" t="s">
        <v>37</v>
      </c>
      <c r="F16" s="46" t="s">
        <v>68</v>
      </c>
      <c r="G16" s="48">
        <f>I12*100</f>
        <v>100</v>
      </c>
      <c r="H16" s="49"/>
      <c r="I16" s="50"/>
    </row>
    <row r="17" spans="1:9" ht="20" customHeight="1" x14ac:dyDescent="0.25">
      <c r="A17" s="1" t="s">
        <v>31</v>
      </c>
      <c r="B17" s="1" t="s">
        <v>58</v>
      </c>
      <c r="C17" s="19" t="s">
        <v>59</v>
      </c>
      <c r="D17" s="1" t="s">
        <v>37</v>
      </c>
      <c r="F17" s="47"/>
      <c r="G17" s="51"/>
      <c r="H17" s="52"/>
      <c r="I17" s="53"/>
    </row>
    <row r="18" spans="1:9" ht="20" customHeight="1" x14ac:dyDescent="0.25">
      <c r="A18" s="2" t="s">
        <v>5</v>
      </c>
      <c r="B18" s="4" t="s">
        <v>11</v>
      </c>
      <c r="C18" t="s">
        <v>60</v>
      </c>
      <c r="D18" s="1" t="s">
        <v>37</v>
      </c>
      <c r="F18" s="47"/>
      <c r="G18" s="54"/>
      <c r="H18" s="55"/>
      <c r="I18" s="56"/>
    </row>
    <row r="19" spans="1:9" ht="20" customHeight="1" x14ac:dyDescent="0.2">
      <c r="A19" s="2" t="s">
        <v>5</v>
      </c>
      <c r="B19" s="1" t="s">
        <v>6</v>
      </c>
      <c r="C19" t="s">
        <v>61</v>
      </c>
      <c r="D19" s="1" t="s">
        <v>37</v>
      </c>
    </row>
    <row r="20" spans="1:9" ht="20" customHeight="1" x14ac:dyDescent="0.2">
      <c r="A20" s="2" t="s">
        <v>5</v>
      </c>
      <c r="B20" s="1" t="s">
        <v>9</v>
      </c>
      <c r="C20" t="s">
        <v>62</v>
      </c>
      <c r="D20" s="1" t="s">
        <v>37</v>
      </c>
    </row>
    <row r="21" spans="1:9" ht="20" customHeight="1" x14ac:dyDescent="0.2">
      <c r="A21" s="2" t="s">
        <v>5</v>
      </c>
      <c r="B21" s="1" t="s">
        <v>58</v>
      </c>
      <c r="C21" t="s">
        <v>63</v>
      </c>
      <c r="D21" s="1" t="s">
        <v>37</v>
      </c>
    </row>
    <row r="22" spans="1:9" ht="20" customHeight="1" x14ac:dyDescent="0.2">
      <c r="A22" s="2" t="s">
        <v>5</v>
      </c>
      <c r="B22" s="1" t="s">
        <v>58</v>
      </c>
      <c r="C22" t="s">
        <v>64</v>
      </c>
      <c r="D22" s="1" t="s">
        <v>37</v>
      </c>
    </row>
    <row r="23" spans="1:9" ht="20" customHeight="1" x14ac:dyDescent="0.2">
      <c r="A23" s="1" t="s">
        <v>25</v>
      </c>
      <c r="B23" s="1" t="s">
        <v>11</v>
      </c>
      <c r="C23" t="s">
        <v>65</v>
      </c>
      <c r="D23" s="1" t="s">
        <v>37</v>
      </c>
    </row>
    <row r="24" spans="1:9" ht="20" customHeight="1" x14ac:dyDescent="0.2">
      <c r="A24" s="1" t="s">
        <v>25</v>
      </c>
      <c r="B24" s="1" t="s">
        <v>6</v>
      </c>
      <c r="C24" t="s">
        <v>66</v>
      </c>
      <c r="D24" s="1" t="s">
        <v>37</v>
      </c>
    </row>
    <row r="25" spans="1:9" ht="20" customHeight="1" x14ac:dyDescent="0.2">
      <c r="A25" s="1" t="s">
        <v>25</v>
      </c>
      <c r="B25" s="1" t="s">
        <v>9</v>
      </c>
      <c r="C25" t="s">
        <v>67</v>
      </c>
      <c r="D25" s="1" t="s">
        <v>37</v>
      </c>
    </row>
    <row r="26" spans="1:9" x14ac:dyDescent="0.2">
      <c r="A26" s="1" t="s">
        <v>25</v>
      </c>
      <c r="B26" s="1" t="s">
        <v>54</v>
      </c>
      <c r="C26" t="s">
        <v>91</v>
      </c>
      <c r="D26" s="1" t="s">
        <v>37</v>
      </c>
    </row>
    <row r="27" spans="1:9" x14ac:dyDescent="0.2">
      <c r="A27" s="1" t="s">
        <v>25</v>
      </c>
      <c r="B27" s="1" t="s">
        <v>49</v>
      </c>
      <c r="C27" t="s">
        <v>92</v>
      </c>
      <c r="D27" s="1" t="s">
        <v>37</v>
      </c>
    </row>
    <row r="30" spans="1:9" x14ac:dyDescent="0.2">
      <c r="G30" s="1"/>
      <c r="H30" s="1"/>
    </row>
  </sheetData>
  <mergeCells count="4">
    <mergeCell ref="B2:C2"/>
    <mergeCell ref="B3:C3"/>
    <mergeCell ref="F16:F18"/>
    <mergeCell ref="G16:I18"/>
  </mergeCells>
  <dataValidations count="1">
    <dataValidation type="list" allowBlank="1" showDropDown="1" showInputMessage="1" showErrorMessage="1" error="Introduzca S o N" sqref="D7:D27" xr:uid="{35A2D9BC-3B68-4A4C-9C4A-90DA7C5FAEF9}">
      <formula1>"S,N"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F70D-D9A9-8146-8108-8CFBE694C1A8}">
  <sheetPr codeName="Hoja4"/>
  <dimension ref="A2:I26"/>
  <sheetViews>
    <sheetView workbookViewId="0">
      <selection activeCell="G1" sqref="G1:H1048576"/>
    </sheetView>
  </sheetViews>
  <sheetFormatPr baseColWidth="10" defaultRowHeight="16" x14ac:dyDescent="0.2"/>
  <cols>
    <col min="1" max="1" width="17" bestFit="1" customWidth="1"/>
    <col min="2" max="2" width="6.5" customWidth="1"/>
    <col min="3" max="3" width="101.5" customWidth="1"/>
    <col min="4" max="4" width="12" bestFit="1" customWidth="1"/>
    <col min="5" max="5" width="2.83203125" customWidth="1"/>
    <col min="6" max="6" width="17.83203125" bestFit="1" customWidth="1"/>
    <col min="7" max="7" width="6.83203125" bestFit="1" customWidth="1"/>
    <col min="8" max="8" width="3.1640625" bestFit="1" customWidth="1"/>
    <col min="9" max="9" width="10.33203125" bestFit="1" customWidth="1"/>
    <col min="10" max="10" width="27" bestFit="1" customWidth="1"/>
    <col min="11" max="11" width="19.83203125" bestFit="1" customWidth="1"/>
  </cols>
  <sheetData>
    <row r="2" spans="1:9" ht="21" x14ac:dyDescent="0.25">
      <c r="A2" s="17" t="s">
        <v>0</v>
      </c>
      <c r="B2" s="57" t="str">
        <f>'Datos Empresa'!B3</f>
        <v>&lt;Aquí el nombre de la empresa&gt;</v>
      </c>
      <c r="C2" s="58"/>
    </row>
    <row r="3" spans="1:9" ht="21" x14ac:dyDescent="0.25">
      <c r="A3" s="18" t="s">
        <v>1</v>
      </c>
      <c r="B3" s="44"/>
      <c r="C3" s="45"/>
    </row>
    <row r="6" spans="1:9" ht="19" x14ac:dyDescent="0.25">
      <c r="A6" s="16" t="s">
        <v>4</v>
      </c>
      <c r="B6" s="16" t="s">
        <v>2</v>
      </c>
      <c r="C6" s="16" t="s">
        <v>3</v>
      </c>
      <c r="D6" s="16" t="s">
        <v>39</v>
      </c>
      <c r="E6" s="10"/>
      <c r="F6" s="11" t="s">
        <v>40</v>
      </c>
      <c r="G6" s="11" t="s">
        <v>100</v>
      </c>
    </row>
    <row r="7" spans="1:9" ht="20" customHeight="1" x14ac:dyDescent="0.2">
      <c r="A7" s="6" t="s">
        <v>17</v>
      </c>
      <c r="B7" s="6" t="s">
        <v>69</v>
      </c>
      <c r="C7" s="7" t="s">
        <v>70</v>
      </c>
      <c r="D7" s="1" t="s">
        <v>37</v>
      </c>
      <c r="F7" s="11" t="s">
        <v>42</v>
      </c>
      <c r="G7" s="1" t="s">
        <v>38</v>
      </c>
      <c r="H7" s="1" t="s">
        <v>37</v>
      </c>
      <c r="I7" s="14" t="s">
        <v>44</v>
      </c>
    </row>
    <row r="8" spans="1:9" ht="20" customHeight="1" x14ac:dyDescent="0.2">
      <c r="A8" s="6" t="s">
        <v>17</v>
      </c>
      <c r="B8" s="8" t="s">
        <v>11</v>
      </c>
      <c r="C8" s="9" t="s">
        <v>71</v>
      </c>
      <c r="D8" s="1" t="s">
        <v>37</v>
      </c>
      <c r="F8" s="12" t="s">
        <v>17</v>
      </c>
      <c r="G8" s="61"/>
      <c r="H8" s="61">
        <v>6</v>
      </c>
      <c r="I8" s="13">
        <f>GETPIVOTDATA("Sí/NO",$F$6,"Departamento","Comercial","Sí/NO","S")/(COUNTIF(A7:A30,"Comercial"))</f>
        <v>1</v>
      </c>
    </row>
    <row r="9" spans="1:9" ht="20" customHeight="1" x14ac:dyDescent="0.2">
      <c r="A9" s="6" t="s">
        <v>17</v>
      </c>
      <c r="B9" s="6" t="s">
        <v>69</v>
      </c>
      <c r="C9" s="7" t="s">
        <v>72</v>
      </c>
      <c r="D9" s="1" t="s">
        <v>37</v>
      </c>
      <c r="F9" s="12" t="s">
        <v>31</v>
      </c>
      <c r="G9" s="61"/>
      <c r="H9" s="61">
        <v>4</v>
      </c>
      <c r="I9" s="13">
        <f>GETPIVOTDATA("Sí/NO",$F$6,"Departamento","Informática","Sí/NO","S")/COUNTIF(A8:A31,"Informática")</f>
        <v>1</v>
      </c>
    </row>
    <row r="10" spans="1:9" ht="20" customHeight="1" x14ac:dyDescent="0.2">
      <c r="A10" s="6" t="s">
        <v>17</v>
      </c>
      <c r="B10" s="6" t="s">
        <v>6</v>
      </c>
      <c r="C10" s="7" t="s">
        <v>73</v>
      </c>
      <c r="D10" s="1" t="s">
        <v>37</v>
      </c>
      <c r="F10" s="12" t="s">
        <v>5</v>
      </c>
      <c r="G10" s="61"/>
      <c r="H10" s="61">
        <v>5</v>
      </c>
      <c r="I10" s="13">
        <f>GETPIVOTDATA("Sí/NO",$F$6,"Departamento","Ingeniería","Sí/NO","S")/COUNTIF(A7:A30,"Ingeniería")</f>
        <v>1</v>
      </c>
    </row>
    <row r="11" spans="1:9" ht="20" customHeight="1" x14ac:dyDescent="0.2">
      <c r="A11" s="6" t="s">
        <v>17</v>
      </c>
      <c r="B11" s="6" t="s">
        <v>69</v>
      </c>
      <c r="C11" s="20" t="s">
        <v>74</v>
      </c>
      <c r="D11" s="1" t="s">
        <v>37</v>
      </c>
      <c r="F11" s="12" t="s">
        <v>25</v>
      </c>
      <c r="G11" s="61"/>
      <c r="H11" s="61">
        <v>5</v>
      </c>
      <c r="I11" s="13">
        <f>GETPIVOTDATA("Sí/NO",$F$6,"Departamento","Instalación","Sí/NO","S")/COUNTIF(A7:A30,"Instalación")</f>
        <v>1</v>
      </c>
    </row>
    <row r="12" spans="1:9" ht="20" customHeight="1" x14ac:dyDescent="0.2">
      <c r="A12" s="6" t="s">
        <v>17</v>
      </c>
      <c r="B12" s="6" t="s">
        <v>75</v>
      </c>
      <c r="C12" s="20" t="s">
        <v>76</v>
      </c>
      <c r="D12" s="1" t="s">
        <v>37</v>
      </c>
      <c r="F12" s="12" t="s">
        <v>43</v>
      </c>
      <c r="G12" s="61"/>
      <c r="H12" s="61">
        <v>20</v>
      </c>
      <c r="I12" s="15">
        <f>GETPIVOTDATA("Sí/NO",$F$6,"Sí/NO","S")/COUNTA(A7:A30)</f>
        <v>1</v>
      </c>
    </row>
    <row r="13" spans="1:9" ht="20" customHeight="1" x14ac:dyDescent="0.25">
      <c r="A13" s="6" t="s">
        <v>31</v>
      </c>
      <c r="B13" s="1" t="s">
        <v>58</v>
      </c>
      <c r="C13" s="19" t="s">
        <v>77</v>
      </c>
      <c r="D13" s="1" t="s">
        <v>37</v>
      </c>
    </row>
    <row r="14" spans="1:9" ht="20" customHeight="1" x14ac:dyDescent="0.25">
      <c r="A14" s="6" t="s">
        <v>31</v>
      </c>
      <c r="B14" s="1" t="s">
        <v>54</v>
      </c>
      <c r="C14" s="19" t="s">
        <v>78</v>
      </c>
      <c r="D14" s="1" t="s">
        <v>37</v>
      </c>
    </row>
    <row r="15" spans="1:9" ht="20" customHeight="1" x14ac:dyDescent="0.25">
      <c r="A15" s="6" t="s">
        <v>31</v>
      </c>
      <c r="B15" s="4" t="s">
        <v>6</v>
      </c>
      <c r="C15" s="19" t="s">
        <v>79</v>
      </c>
      <c r="D15" s="1" t="s">
        <v>37</v>
      </c>
    </row>
    <row r="16" spans="1:9" ht="20" customHeight="1" x14ac:dyDescent="0.25">
      <c r="A16" s="6" t="s">
        <v>31</v>
      </c>
      <c r="B16" s="1" t="s">
        <v>49</v>
      </c>
      <c r="C16" s="19" t="s">
        <v>80</v>
      </c>
      <c r="D16" s="1" t="s">
        <v>37</v>
      </c>
      <c r="F16" s="46" t="s">
        <v>68</v>
      </c>
      <c r="G16" s="48">
        <f>I12*100</f>
        <v>100</v>
      </c>
      <c r="H16" s="49"/>
      <c r="I16" s="50"/>
    </row>
    <row r="17" spans="1:9" ht="20" customHeight="1" x14ac:dyDescent="0.2">
      <c r="A17" s="2" t="s">
        <v>5</v>
      </c>
      <c r="B17" s="1" t="s">
        <v>11</v>
      </c>
      <c r="C17" t="s">
        <v>81</v>
      </c>
      <c r="D17" s="1" t="s">
        <v>37</v>
      </c>
      <c r="F17" s="47"/>
      <c r="G17" s="51"/>
      <c r="H17" s="52"/>
      <c r="I17" s="53"/>
    </row>
    <row r="18" spans="1:9" ht="20" customHeight="1" x14ac:dyDescent="0.2">
      <c r="A18" s="2" t="s">
        <v>5</v>
      </c>
      <c r="B18" s="1" t="s">
        <v>6</v>
      </c>
      <c r="C18" t="s">
        <v>82</v>
      </c>
      <c r="D18" s="1" t="s">
        <v>37</v>
      </c>
      <c r="F18" s="47"/>
      <c r="G18" s="54"/>
      <c r="H18" s="55"/>
      <c r="I18" s="56"/>
    </row>
    <row r="19" spans="1:9" ht="20" customHeight="1" x14ac:dyDescent="0.2">
      <c r="A19" s="2" t="s">
        <v>5</v>
      </c>
      <c r="B19" s="1" t="s">
        <v>9</v>
      </c>
      <c r="C19" t="s">
        <v>83</v>
      </c>
      <c r="D19" s="1" t="s">
        <v>37</v>
      </c>
    </row>
    <row r="20" spans="1:9" ht="20" customHeight="1" x14ac:dyDescent="0.2">
      <c r="A20" s="2" t="s">
        <v>5</v>
      </c>
      <c r="B20" s="1" t="s">
        <v>9</v>
      </c>
      <c r="C20" t="s">
        <v>84</v>
      </c>
      <c r="D20" s="1" t="s">
        <v>37</v>
      </c>
    </row>
    <row r="21" spans="1:9" ht="20" customHeight="1" x14ac:dyDescent="0.2">
      <c r="A21" s="2" t="s">
        <v>5</v>
      </c>
      <c r="B21" s="1" t="s">
        <v>49</v>
      </c>
      <c r="C21" t="s">
        <v>85</v>
      </c>
      <c r="D21" s="1" t="s">
        <v>37</v>
      </c>
    </row>
    <row r="22" spans="1:9" ht="20" customHeight="1" x14ac:dyDescent="0.25">
      <c r="A22" s="6" t="s">
        <v>25</v>
      </c>
      <c r="B22" s="4" t="s">
        <v>9</v>
      </c>
      <c r="C22" t="s">
        <v>86</v>
      </c>
      <c r="D22" s="1" t="s">
        <v>37</v>
      </c>
    </row>
    <row r="23" spans="1:9" ht="20" customHeight="1" x14ac:dyDescent="0.2">
      <c r="A23" s="6" t="s">
        <v>25</v>
      </c>
      <c r="B23" s="8" t="s">
        <v>11</v>
      </c>
      <c r="C23" s="21" t="s">
        <v>87</v>
      </c>
      <c r="D23" s="1" t="s">
        <v>37</v>
      </c>
    </row>
    <row r="24" spans="1:9" ht="20" customHeight="1" x14ac:dyDescent="0.2">
      <c r="A24" s="6" t="s">
        <v>25</v>
      </c>
      <c r="B24" s="6" t="s">
        <v>49</v>
      </c>
      <c r="C24" s="20" t="s">
        <v>88</v>
      </c>
      <c r="D24" s="1" t="s">
        <v>37</v>
      </c>
    </row>
    <row r="25" spans="1:9" ht="20" customHeight="1" x14ac:dyDescent="0.2">
      <c r="A25" s="6" t="s">
        <v>25</v>
      </c>
      <c r="B25" s="6" t="s">
        <v>54</v>
      </c>
      <c r="C25" s="7" t="s">
        <v>89</v>
      </c>
      <c r="D25" s="1" t="s">
        <v>37</v>
      </c>
    </row>
    <row r="26" spans="1:9" ht="17" x14ac:dyDescent="0.2">
      <c r="A26" s="6" t="s">
        <v>25</v>
      </c>
      <c r="B26" s="6" t="s">
        <v>6</v>
      </c>
      <c r="C26" s="7" t="s">
        <v>90</v>
      </c>
      <c r="D26" s="1" t="s">
        <v>37</v>
      </c>
    </row>
  </sheetData>
  <mergeCells count="4">
    <mergeCell ref="B2:C2"/>
    <mergeCell ref="B3:C3"/>
    <mergeCell ref="F16:F18"/>
    <mergeCell ref="G16:I18"/>
  </mergeCells>
  <dataValidations count="1">
    <dataValidation type="list" allowBlank="1" showDropDown="1" showInputMessage="1" showErrorMessage="1" error="Introduza S o N" sqref="D7:D26" xr:uid="{0BE733C1-2DDD-D042-B056-CD1041CBBF9A}">
      <formula1>"S,N"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19130-E28A-D843-A72E-2B30E69F2AFC}">
  <sheetPr codeName="Hoja5"/>
  <dimension ref="A2:I26"/>
  <sheetViews>
    <sheetView workbookViewId="0">
      <selection activeCell="G1" sqref="G1:H1048576"/>
    </sheetView>
  </sheetViews>
  <sheetFormatPr baseColWidth="10" defaultRowHeight="16" x14ac:dyDescent="0.2"/>
  <cols>
    <col min="1" max="1" width="17" bestFit="1" customWidth="1"/>
    <col min="2" max="2" width="6.5" customWidth="1"/>
    <col min="3" max="3" width="101.5" customWidth="1"/>
    <col min="4" max="4" width="12" bestFit="1" customWidth="1"/>
    <col min="5" max="5" width="4.1640625" customWidth="1"/>
    <col min="6" max="6" width="17.83203125" bestFit="1" customWidth="1"/>
    <col min="7" max="7" width="21.5" bestFit="1" customWidth="1"/>
    <col min="8" max="8" width="2.5" bestFit="1" customWidth="1"/>
    <col min="9" max="9" width="10.33203125" bestFit="1" customWidth="1"/>
    <col min="10" max="10" width="27" bestFit="1" customWidth="1"/>
    <col min="11" max="11" width="19.83203125" bestFit="1" customWidth="1"/>
  </cols>
  <sheetData>
    <row r="2" spans="1:9" ht="21" x14ac:dyDescent="0.25">
      <c r="A2" s="17" t="s">
        <v>0</v>
      </c>
      <c r="B2" s="57" t="str">
        <f>'Datos Empresa'!B3</f>
        <v>&lt;Aquí el nombre de la empresa&gt;</v>
      </c>
      <c r="C2" s="58"/>
    </row>
    <row r="3" spans="1:9" ht="21" x14ac:dyDescent="0.25">
      <c r="A3" s="18" t="s">
        <v>1</v>
      </c>
      <c r="B3" s="44"/>
      <c r="C3" s="45"/>
    </row>
    <row r="6" spans="1:9" ht="19" x14ac:dyDescent="0.25">
      <c r="A6" s="16" t="s">
        <v>4</v>
      </c>
      <c r="B6" s="16" t="s">
        <v>2</v>
      </c>
      <c r="C6" s="16" t="s">
        <v>3</v>
      </c>
      <c r="D6" s="16" t="s">
        <v>39</v>
      </c>
      <c r="E6" s="10"/>
      <c r="F6" s="11" t="s">
        <v>40</v>
      </c>
      <c r="G6" s="11" t="s">
        <v>41</v>
      </c>
    </row>
    <row r="7" spans="1:9" ht="20" customHeight="1" x14ac:dyDescent="0.25">
      <c r="A7" s="6" t="s">
        <v>98</v>
      </c>
      <c r="B7" s="1" t="s">
        <v>93</v>
      </c>
      <c r="C7" s="19" t="s">
        <v>94</v>
      </c>
      <c r="D7" s="1" t="s">
        <v>37</v>
      </c>
      <c r="F7" s="11" t="s">
        <v>42</v>
      </c>
      <c r="G7" s="1" t="s">
        <v>37</v>
      </c>
      <c r="H7" s="1" t="s">
        <v>38</v>
      </c>
      <c r="I7" s="14" t="s">
        <v>44</v>
      </c>
    </row>
    <row r="8" spans="1:9" ht="20" customHeight="1" x14ac:dyDescent="0.25">
      <c r="A8" s="6" t="s">
        <v>98</v>
      </c>
      <c r="B8" s="1" t="s">
        <v>93</v>
      </c>
      <c r="C8" s="19" t="s">
        <v>95</v>
      </c>
      <c r="D8" s="1" t="s">
        <v>37</v>
      </c>
      <c r="F8" s="12" t="s">
        <v>98</v>
      </c>
      <c r="G8" s="61">
        <v>4</v>
      </c>
      <c r="H8" s="61"/>
      <c r="I8" s="13">
        <f>GETPIVOTDATA("Sí/NO",$F$6,"Departamento","Todos","Sí/NO","S")/(COUNTIF(A7:A10,"Todos"))</f>
        <v>1</v>
      </c>
    </row>
    <row r="9" spans="1:9" ht="20" customHeight="1" x14ac:dyDescent="0.25">
      <c r="A9" s="6" t="s">
        <v>98</v>
      </c>
      <c r="B9" s="1" t="s">
        <v>93</v>
      </c>
      <c r="C9" s="19" t="s">
        <v>96</v>
      </c>
      <c r="D9" s="1" t="s">
        <v>37</v>
      </c>
      <c r="F9" s="12" t="s">
        <v>43</v>
      </c>
      <c r="G9" s="61">
        <v>4</v>
      </c>
      <c r="H9" s="61"/>
      <c r="I9" s="13">
        <f>GETPIVOTDATA("Sí/NO",$F$6,"Sí/NO","S")/(COUNTIF(A7:A10,"Todos"))</f>
        <v>1</v>
      </c>
    </row>
    <row r="10" spans="1:9" ht="20" customHeight="1" x14ac:dyDescent="0.25">
      <c r="A10" s="6" t="s">
        <v>98</v>
      </c>
      <c r="B10" s="1" t="s">
        <v>93</v>
      </c>
      <c r="C10" s="19" t="s">
        <v>97</v>
      </c>
      <c r="D10" s="1" t="s">
        <v>37</v>
      </c>
      <c r="I10" s="13"/>
    </row>
    <row r="11" spans="1:9" ht="20" customHeight="1" x14ac:dyDescent="0.2">
      <c r="A11" s="6"/>
      <c r="B11" s="6"/>
      <c r="C11" s="20"/>
      <c r="D11" s="1"/>
      <c r="I11" s="13"/>
    </row>
    <row r="12" spans="1:9" ht="20" customHeight="1" x14ac:dyDescent="0.2">
      <c r="A12" s="6"/>
      <c r="B12" s="6"/>
      <c r="C12" s="20"/>
      <c r="D12" s="1"/>
      <c r="I12" s="36"/>
    </row>
    <row r="13" spans="1:9" ht="20" customHeight="1" x14ac:dyDescent="0.25">
      <c r="A13" s="6"/>
      <c r="B13" s="1"/>
      <c r="C13" s="19"/>
      <c r="D13" s="1"/>
    </row>
    <row r="14" spans="1:9" ht="20" customHeight="1" x14ac:dyDescent="0.25">
      <c r="A14" s="6"/>
      <c r="B14" s="1"/>
      <c r="C14" s="19"/>
      <c r="D14" s="1"/>
    </row>
    <row r="15" spans="1:9" ht="20" customHeight="1" x14ac:dyDescent="0.25">
      <c r="A15" s="6"/>
      <c r="B15" s="4"/>
      <c r="C15" s="19"/>
      <c r="D15" s="1"/>
    </row>
    <row r="16" spans="1:9" ht="20" customHeight="1" x14ac:dyDescent="0.25">
      <c r="A16" s="6"/>
      <c r="B16" s="1"/>
      <c r="C16" s="19"/>
      <c r="D16" s="1"/>
      <c r="F16" s="46" t="s">
        <v>68</v>
      </c>
      <c r="G16" s="48">
        <f>I9*100</f>
        <v>100</v>
      </c>
      <c r="H16" s="49"/>
      <c r="I16" s="50"/>
    </row>
    <row r="17" spans="1:9" ht="20" customHeight="1" x14ac:dyDescent="0.2">
      <c r="A17" s="2"/>
      <c r="B17" s="1"/>
      <c r="D17" s="1"/>
      <c r="F17" s="47"/>
      <c r="G17" s="51"/>
      <c r="H17" s="52"/>
      <c r="I17" s="53"/>
    </row>
    <row r="18" spans="1:9" ht="20" customHeight="1" x14ac:dyDescent="0.2">
      <c r="A18" s="2"/>
      <c r="B18" s="1"/>
      <c r="D18" s="1"/>
      <c r="F18" s="47"/>
      <c r="G18" s="54"/>
      <c r="H18" s="55"/>
      <c r="I18" s="56"/>
    </row>
    <row r="19" spans="1:9" ht="20" customHeight="1" x14ac:dyDescent="0.2">
      <c r="A19" s="2"/>
      <c r="B19" s="1"/>
      <c r="D19" s="1"/>
    </row>
    <row r="20" spans="1:9" ht="20" customHeight="1" x14ac:dyDescent="0.2">
      <c r="A20" s="2"/>
      <c r="B20" s="1"/>
      <c r="D20" s="1"/>
    </row>
    <row r="21" spans="1:9" ht="20" customHeight="1" x14ac:dyDescent="0.2">
      <c r="A21" s="2"/>
      <c r="B21" s="1"/>
      <c r="D21" s="1"/>
    </row>
    <row r="22" spans="1:9" ht="20" customHeight="1" x14ac:dyDescent="0.25">
      <c r="A22" s="6"/>
      <c r="B22" s="4"/>
      <c r="D22" s="1"/>
    </row>
    <row r="23" spans="1:9" ht="20" customHeight="1" x14ac:dyDescent="0.2">
      <c r="A23" s="6"/>
      <c r="B23" s="8"/>
      <c r="C23" s="21"/>
      <c r="D23" s="1"/>
    </row>
    <row r="24" spans="1:9" ht="20" customHeight="1" x14ac:dyDescent="0.2">
      <c r="A24" s="6"/>
      <c r="B24" s="6"/>
      <c r="C24" s="20"/>
      <c r="D24" s="1"/>
    </row>
    <row r="25" spans="1:9" ht="20" customHeight="1" x14ac:dyDescent="0.2">
      <c r="A25" s="6"/>
      <c r="B25" s="6"/>
      <c r="C25" s="7"/>
      <c r="D25" s="1"/>
    </row>
    <row r="26" spans="1:9" x14ac:dyDescent="0.2">
      <c r="A26" s="6"/>
      <c r="B26" s="6"/>
      <c r="C26" s="7"/>
      <c r="D26" s="1"/>
    </row>
  </sheetData>
  <mergeCells count="4">
    <mergeCell ref="B2:C2"/>
    <mergeCell ref="B3:C3"/>
    <mergeCell ref="F16:F18"/>
    <mergeCell ref="G16:I18"/>
  </mergeCells>
  <dataValidations count="1">
    <dataValidation type="list" allowBlank="1" showDropDown="1" showInputMessage="1" showErrorMessage="1" error="Introduzca S o N" sqref="D7:D10" xr:uid="{7CC5C8ED-DEA1-5B4B-BD74-6965C9F6B069}">
      <formula1>"S,N"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631D8-7AFF-024E-AC96-1D326EB5E7E7}">
  <sheetPr codeName="Hoja6"/>
  <dimension ref="B2:J26"/>
  <sheetViews>
    <sheetView workbookViewId="0">
      <selection activeCell="D7" sqref="D7"/>
    </sheetView>
  </sheetViews>
  <sheetFormatPr baseColWidth="10" defaultRowHeight="16" x14ac:dyDescent="0.2"/>
  <cols>
    <col min="1" max="1" width="6" customWidth="1"/>
    <col min="2" max="2" width="17" bestFit="1" customWidth="1"/>
    <col min="3" max="3" width="6.5" customWidth="1"/>
    <col min="4" max="4" width="109.83203125" customWidth="1"/>
    <col min="5" max="5" width="28.5" customWidth="1"/>
    <col min="7" max="7" width="26.83203125" customWidth="1"/>
    <col min="8" max="8" width="8.5" customWidth="1"/>
    <col min="9" max="9" width="6.5" customWidth="1"/>
    <col min="10" max="10" width="10.33203125" bestFit="1" customWidth="1"/>
    <col min="11" max="11" width="27" bestFit="1" customWidth="1"/>
    <col min="12" max="12" width="19.83203125" bestFit="1" customWidth="1"/>
  </cols>
  <sheetData>
    <row r="2" spans="2:10" ht="52" customHeight="1" x14ac:dyDescent="0.2">
      <c r="B2" s="30" t="s">
        <v>0</v>
      </c>
      <c r="C2" s="59" t="str">
        <f>'Datos Empresa'!B3</f>
        <v>&lt;Aquí el nombre de la empresa&gt;</v>
      </c>
      <c r="D2" s="59"/>
    </row>
    <row r="3" spans="2:10" ht="42" customHeight="1" x14ac:dyDescent="0.2">
      <c r="B3" s="30" t="s">
        <v>1</v>
      </c>
      <c r="C3" s="60"/>
      <c r="D3" s="60"/>
    </row>
    <row r="6" spans="2:10" ht="19" x14ac:dyDescent="0.25">
      <c r="B6" s="16"/>
      <c r="C6" s="16"/>
      <c r="D6" s="16"/>
      <c r="E6" s="16"/>
      <c r="F6" s="10"/>
    </row>
    <row r="7" spans="2:10" ht="44" customHeight="1" x14ac:dyDescent="0.2">
      <c r="C7" s="28"/>
      <c r="D7" s="27">
        <f>'1. ¿Qué sabemos...'!G16+'2. Más grande'!G16+'3. Eficacia y rendimiento'!G16+'4. La orientacion lo es todo'!G16+'5. Presentación'!G16</f>
        <v>500</v>
      </c>
      <c r="E7" s="1"/>
      <c r="J7" s="22"/>
    </row>
    <row r="8" spans="2:10" ht="151" customHeight="1" x14ac:dyDescent="0.2">
      <c r="B8" s="29"/>
      <c r="C8" s="28"/>
      <c r="D8" s="28"/>
      <c r="E8" s="1"/>
      <c r="J8" s="13"/>
    </row>
    <row r="9" spans="2:10" ht="20" customHeight="1" x14ac:dyDescent="0.2">
      <c r="B9" s="28"/>
      <c r="C9" s="28"/>
      <c r="D9" s="28"/>
      <c r="E9" s="1"/>
      <c r="J9" s="13"/>
    </row>
    <row r="10" spans="2:10" ht="20" customHeight="1" x14ac:dyDescent="0.2">
      <c r="B10" s="28"/>
      <c r="C10" s="28"/>
      <c r="D10" s="28"/>
      <c r="E10" s="1"/>
      <c r="J10" s="13"/>
    </row>
    <row r="11" spans="2:10" ht="20" customHeight="1" x14ac:dyDescent="0.2">
      <c r="B11" s="6"/>
      <c r="C11" s="6"/>
      <c r="D11" s="20"/>
      <c r="E11" s="1"/>
      <c r="J11" s="13"/>
    </row>
    <row r="12" spans="2:10" ht="20" customHeight="1" x14ac:dyDescent="0.2">
      <c r="B12" s="6"/>
      <c r="C12" s="6"/>
      <c r="D12" s="20"/>
      <c r="E12" s="1"/>
      <c r="J12" s="23"/>
    </row>
    <row r="13" spans="2:10" ht="20" customHeight="1" x14ac:dyDescent="0.25">
      <c r="B13" s="6"/>
      <c r="C13" s="1"/>
      <c r="D13" s="19"/>
      <c r="E13" s="1"/>
    </row>
    <row r="14" spans="2:10" ht="20" customHeight="1" x14ac:dyDescent="0.25">
      <c r="B14" s="6"/>
      <c r="C14" s="1"/>
      <c r="D14" s="19"/>
      <c r="E14" s="1"/>
    </row>
    <row r="15" spans="2:10" ht="20" customHeight="1" x14ac:dyDescent="0.25">
      <c r="B15" s="6"/>
      <c r="C15" s="4"/>
      <c r="D15" s="19"/>
      <c r="E15" s="1"/>
      <c r="G15" s="24"/>
    </row>
    <row r="16" spans="2:10" ht="20" customHeight="1" x14ac:dyDescent="0.25">
      <c r="B16" s="6"/>
      <c r="C16" s="1"/>
      <c r="D16" s="19"/>
      <c r="E16" s="1"/>
      <c r="H16" s="26"/>
      <c r="I16" s="26"/>
      <c r="J16" s="26"/>
    </row>
    <row r="17" spans="2:10" ht="20" customHeight="1" x14ac:dyDescent="0.2">
      <c r="B17" s="2"/>
      <c r="C17" s="1"/>
      <c r="E17" s="1"/>
      <c r="G17" s="25"/>
      <c r="H17" s="26"/>
      <c r="I17" s="26"/>
      <c r="J17" s="26"/>
    </row>
    <row r="18" spans="2:10" ht="20" customHeight="1" x14ac:dyDescent="0.2">
      <c r="B18" s="2"/>
      <c r="C18" s="1"/>
      <c r="E18" s="1"/>
      <c r="G18" s="24"/>
      <c r="H18" s="26"/>
      <c r="I18" s="26"/>
      <c r="J18" s="26"/>
    </row>
    <row r="19" spans="2:10" ht="20" customHeight="1" x14ac:dyDescent="0.2">
      <c r="B19" s="2"/>
      <c r="C19" s="1"/>
      <c r="E19" s="1"/>
    </row>
    <row r="20" spans="2:10" ht="20" customHeight="1" x14ac:dyDescent="0.2">
      <c r="B20" s="2"/>
      <c r="C20" s="1"/>
      <c r="E20" s="1"/>
    </row>
    <row r="21" spans="2:10" ht="20" customHeight="1" x14ac:dyDescent="0.2">
      <c r="B21" s="2"/>
      <c r="C21" s="1"/>
      <c r="E21" s="1"/>
    </row>
    <row r="22" spans="2:10" ht="20" customHeight="1" x14ac:dyDescent="0.25">
      <c r="B22" s="6"/>
      <c r="C22" s="4"/>
      <c r="E22" s="1"/>
    </row>
    <row r="23" spans="2:10" ht="20" customHeight="1" x14ac:dyDescent="0.2">
      <c r="B23" s="6"/>
      <c r="C23" s="8"/>
      <c r="D23" s="21"/>
      <c r="E23" s="1"/>
    </row>
    <row r="24" spans="2:10" ht="20" customHeight="1" x14ac:dyDescent="0.2">
      <c r="B24" s="6"/>
      <c r="C24" s="6"/>
      <c r="D24" s="20"/>
      <c r="E24" s="1"/>
    </row>
    <row r="25" spans="2:10" ht="20" customHeight="1" x14ac:dyDescent="0.2">
      <c r="B25" s="6"/>
      <c r="C25" s="6"/>
      <c r="D25" s="7"/>
      <c r="E25" s="1"/>
    </row>
    <row r="26" spans="2:10" x14ac:dyDescent="0.2">
      <c r="B26" s="6"/>
      <c r="C26" s="6"/>
      <c r="D26" s="7"/>
      <c r="E26" s="1"/>
    </row>
  </sheetData>
  <mergeCells count="2">
    <mergeCell ref="C2:D2"/>
    <mergeCell ref="C3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6.Certificacion" altText="Obtener certificación">
                <anchor moveWithCells="1" sizeWithCells="1">
                  <from>
                    <xdr:col>3</xdr:col>
                    <xdr:colOff>25400</xdr:colOff>
                    <xdr:row>10</xdr:row>
                    <xdr:rowOff>12700</xdr:rowOff>
                  </from>
                  <to>
                    <xdr:col>3</xdr:col>
                    <xdr:colOff>8356600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 Empresa</vt:lpstr>
      <vt:lpstr>1. ¿Qué sabemos...</vt:lpstr>
      <vt:lpstr>2. Más grande</vt:lpstr>
      <vt:lpstr>3. Eficacia y rendimiento</vt:lpstr>
      <vt:lpstr>4. La orientacion lo es todo</vt:lpstr>
      <vt:lpstr>5. Presentación</vt:lpstr>
      <vt:lpstr>Certificación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Luis Muñoz Casado</dc:creator>
  <cp:lastModifiedBy>José Luis Muñoz Casado</cp:lastModifiedBy>
  <dcterms:created xsi:type="dcterms:W3CDTF">2023-06-22T06:02:17Z</dcterms:created>
  <dcterms:modified xsi:type="dcterms:W3CDTF">2023-06-22T15:44:35Z</dcterms:modified>
</cp:coreProperties>
</file>